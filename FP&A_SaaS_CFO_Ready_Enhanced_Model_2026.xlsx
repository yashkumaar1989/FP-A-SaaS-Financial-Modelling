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6475f5082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9f02dbba9c3440ce"/>
    <x:sheet xmlns:r="http://schemas.openxmlformats.org/officeDocument/2006/relationships" name="Assumptions" sheetId="2" r:id="R1429a5eb82e642fd"/>
    <x:sheet xmlns:r="http://schemas.openxmlformats.org/officeDocument/2006/relationships" name="Monthly FP&amp;A" sheetId="3" r:id="R5d8f14c0513749b4"/>
    <x:sheet xmlns:r="http://schemas.openxmlformats.org/officeDocument/2006/relationships" name="SaaS Metrics" sheetId="4" r:id="R532fde3a61034fcd"/>
    <x:sheet xmlns:r="http://schemas.openxmlformats.org/officeDocument/2006/relationships" name="Budget vs Actual" sheetId="5" r:id="R704bc82c60b34efc"/>
    <x:sheet xmlns:r="http://schemas.openxmlformats.org/officeDocument/2006/relationships" name="Three Statements" sheetId="6" r:id="R472532d664ca4eae"/>
    <x:sheet xmlns:r="http://schemas.openxmlformats.org/officeDocument/2006/relationships" name="Management Commentary" sheetId="7" r:id="R93af14cdcf2f4838"/>
    <x:sheet xmlns:r="http://schemas.openxmlformats.org/officeDocument/2006/relationships" name="Read Me" sheetId="8" r:id="Ra2999981fdae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0.0%;[Red](0.0%);-"/>
    <x:numFmt numFmtId="202" formatCode="#,##0.0;[Red](#,##0.0);-"/>
    <x:numFmt numFmtId="203" formatCode="0.0%"/>
    <x:numFmt numFmtId="204" formatCode="$#,##0;[Red]($#,##0);-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4283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5"/>
      <x:color rgb="FF087E8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83F"/>
      </x:patternFill>
    </x:fill>
    <x:fill>
      <x:patternFill patternType="solid">
        <x:fgColor rgb="FFEAF2F7"/>
      </x:patternFill>
    </x:fill>
    <x:fill>
      <x:patternFill patternType="solid">
        <x:fgColor rgb="FFFFF2B2"/>
      </x:patternFill>
    </x:fill>
    <x:fill>
      <x:patternFill patternType="solid">
        <x:fgColor rgb="FF087E8B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3" fontId="5" fillId="3" borderId="0" xfId="0" applyNumberFormat="1" applyFont="1" applyFill="1" applyBorder="1"/>
    <x:xf numFmtId="203" fontId="5" fillId="3" borderId="1" xfId="0" applyNumberFormat="1" applyFont="1" applyFill="1" applyBorder="1"/>
    <x:xf numFmtId="204" fontId="5" fillId="3" borderId="0" xfId="0" applyNumberFormat="1" applyFont="1" applyFill="1" applyBorder="1"/>
    <x:xf numFmtId="204" fontId="5" fillId="3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0d344dc8db4d86" /><Relationship Type="http://schemas.openxmlformats.org/officeDocument/2006/relationships/theme" Target="/xl/theme/theme1.xml" Id="Rc3c096316cd643e5" /><Relationship Type="http://schemas.openxmlformats.org/officeDocument/2006/relationships/sharedStrings" Target="/xl/sharedStrings.xml" Id="Rbc5f8b197eaf438a" /><Relationship Type="http://schemas.openxmlformats.org/officeDocument/2006/relationships/worksheet" Target="/xl/worksheets/sheet1.xml" Id="R9f02dbba9c3440ce" /><Relationship Type="http://schemas.openxmlformats.org/officeDocument/2006/relationships/worksheet" Target="/xl/worksheets/sheet2.xml" Id="R1429a5eb82e642fd" /><Relationship Type="http://schemas.openxmlformats.org/officeDocument/2006/relationships/worksheet" Target="/xl/worksheets/sheet3.xml" Id="R5d8f14c0513749b4" /><Relationship Type="http://schemas.openxmlformats.org/officeDocument/2006/relationships/worksheet" Target="/xl/worksheets/sheet4.xml" Id="R532fde3a61034fcd" /><Relationship Type="http://schemas.openxmlformats.org/officeDocument/2006/relationships/worksheet" Target="/xl/worksheets/sheet5.xml" Id="R704bc82c60b34efc" /><Relationship Type="http://schemas.openxmlformats.org/officeDocument/2006/relationships/worksheet" Target="/xl/worksheets/sheet6.xml" Id="R472532d664ca4eae" /><Relationship Type="http://schemas.openxmlformats.org/officeDocument/2006/relationships/worksheet" Target="/xl/worksheets/sheet7.xml" Id="R93af14cdcf2f4838" /><Relationship Type="http://schemas.openxmlformats.org/officeDocument/2006/relationships/worksheet" Target="/xl/worksheets/sheet8.xml" Id="Ra2999981fdae43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081f507e9d451e" /><Relationship Type="http://schemas.openxmlformats.org/officeDocument/2006/relationships/chart" Target="/xl/drawings/charts/chart2.xml" Id="R229e9e6cd13d4042" /><Relationship Type="http://schemas.openxmlformats.org/officeDocument/2006/relationships/chart" Target="/xl/drawings/charts/chart3.xml" Id="R2ca5c452d7b6469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'Executive Dashboard'!$A$19:$A$30</c:f>
              <c:strCache>
                <c:ptCount val="0"/>
              </c:strCache>
            </c:strRef>
          </c:cat>
          <c:val>
            <c:numRef>
              <c:f>'Executive Dashboard'!$B$19:$B$30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'Executive Dashboard'!$A$19:$A$30</c:f>
              <c:strCache>
                <c:ptCount val="0"/>
              </c:strCache>
            </c:strRef>
          </c:cat>
          <c:val>
            <c:numRef>
              <c:f>'Executive Dashboard'!$C$19:$C$30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Cash</c:v>
          </c:tx>
          <c:marker>
            <c:symbol val="none"/>
          </c:marker>
          <c:cat>
            <c:strRef>
              <c:f>'Executive Dashboard'!$A$19:$A$30</c:f>
              <c:strCache>
                <c:ptCount val="0"/>
              </c:strCache>
            </c:strRef>
          </c:cat>
          <c:val>
            <c:numRef>
              <c:f>'Executive Dashboard'!$D$19:$D$30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ARR</c:v>
          </c:tx>
          <c:marker>
            <c:symbol val="none"/>
          </c:marker>
          <c:cat>
            <c:strRef>
              <c:f>'Executive Dashboard'!$A$19:$A$30</c:f>
              <c:strCache>
                <c:ptCount val="0"/>
              </c:strCache>
            </c:strRef>
          </c:cat>
          <c:val>
            <c:numRef>
              <c:f>'Executive Dashboard'!$E$19:$E$30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Opex</c:v>
          </c:tx>
          <c:cat>
            <c:strRef>
              <c:f>'Executive Dashboard'!$A$19:$A$30</c:f>
              <c:strCache>
                <c:ptCount val="0"/>
              </c:strCache>
            </c:strRef>
          </c:cat>
          <c:val>
            <c:numRef>
              <c:f>'Executive Dashboard'!$F$19:$F$30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081f507e9d451e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9e9e6cd13d404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a5c452d7b6469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356ed23ea734687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5" customHeight="1">
      <x:c r="A1" s="3" t="str">
        <x:v>EXECUTIVE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2" customHeight="1">
      <x:c r="A3" s="7" t="str">
        <x:v>SYNTHETIC SAAS CASE STUDY  •  USD  •  FY2026 ILLUSTRATIVE ACTUALS / FY2027 PLAN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5" ht="23" customHeight="1">
      <x:c r="A5" s="10" t="str">
        <x:v>FY2027 EXECUTIVE SCORECARD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7" ht="23" customHeight="1">
      <x:c r="B7" s="10" t="str">
        <x:v>FY2027 REVENUE</x:v>
      </x:c>
      <x:c r="E7" s="10" t="str">
        <x:v>FY2027 EBITDA</x:v>
      </x:c>
      <x:c r="H7" s="10" t="str">
        <x:v>EBITDA MARGIN</x:v>
      </x:c>
      <x:c r="K7" s="10" t="str">
        <x:v>ENDING CASH</x:v>
      </x:c>
    </x:row>
    <x:row r="8" ht="32" customHeight="1">
      <x:c r="B8" s="28" t="n">
        <x:f>'Three Statements'!C9</x:f>
        <x:v>5004721.8</x:v>
      </x:c>
      <x:c r="E8" s="28" t="n">
        <x:f>'Three Statements'!C13</x:f>
        <x:v>-4814893.356</x:v>
      </x:c>
      <x:c r="H8" s="26" t="n">
        <x:f>IFERROR('Three Statements'!C13/'Three Statements'!C9,0)</x:f>
        <x:v>-0.962070130651418</x:v>
      </x:c>
      <x:c r="K8" s="28" t="n">
        <x:f>'Three Statements'!C23</x:f>
        <x:v>-3805234.2339999997</x:v>
      </x:c>
    </x:row>
    <x:row r="11" ht="23" customHeight="1">
      <x:c r="B11" s="10" t="str">
        <x:v>EXIT ARR</x:v>
      </x:c>
      <x:c r="E11" s="10" t="str">
        <x:v>CUSTOMERS</x:v>
      </x:c>
      <x:c r="H11" s="10" t="str">
        <x:v>LOGO CHURN</x:v>
      </x:c>
      <x:c r="K11" s="10" t="str">
        <x:v>RULE OF 40</x:v>
      </x:c>
    </x:row>
    <x:row r="12" ht="32" customHeight="1">
      <x:c r="B12" s="28" t="n">
        <x:f>'SaaS Metrics'!Y10</x:f>
        <x:v>5864227.2</x:v>
      </x:c>
      <x:c r="E12" s="24" t="n">
        <x:f>'SaaS Metrics'!Y11</x:f>
        <x:v>1362</x:v>
      </x:c>
      <x:c r="H12" s="26" t="n">
        <x:f>'SaaS Metrics'!Y12</x:f>
        <x:v>0.015825169555388093</x:v>
      </x:c>
      <x:c r="K12" s="26" t="n">
        <x:f>'SaaS Metrics'!Y20</x:f>
        <x:v>-0.3499294935527204</x:v>
      </x:c>
    </x:row>
    <x:row r="16" ht="23" customHeight="1">
      <x:c r="A16" s="10" t="str">
        <x:v>OPERATING PERFORMANCE — FY2027 MONTHLY</x:v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</x:row>
    <x:row r="18">
      <x:c r="A18" s="31" t="str">
        <x:v>Month</x:v>
      </x:c>
      <x:c r="B18" s="31" t="str">
        <x:v>Revenue</x:v>
      </x:c>
      <x:c r="C18" s="31" t="str">
        <x:v>EBITDA</x:v>
      </x:c>
      <x:c r="D18" s="31" t="str">
        <x:v>Cash</x:v>
      </x:c>
      <x:c r="E18" s="31" t="str">
        <x:v>ARR</x:v>
      </x:c>
      <x:c r="F18" s="31" t="str">
        <x:v>Opex</x:v>
      </x:c>
    </x:row>
    <x:row r="19">
      <x:c r="A19" t="str">
        <x:v>2027-01</x:v>
      </x:c>
      <x:c r="B19" t="n">
        <x:f>'Monthly FP&amp;A'!N16</x:f>
        <x:v>353956.2</x:v>
      </x:c>
      <x:c r="C19" t="n">
        <x:f>'Monthly FP&amp;A'!N29</x:f>
        <x:v>-408825.404</x:v>
      </x:c>
      <x:c r="D19" t="n">
        <x:f>'Monthly FP&amp;A'!N40</x:f>
        <x:v>853109.7500000001</x:v>
      </x:c>
      <x:c r="E19" t="n">
        <x:f>'Monthly FP&amp;A'!N17</x:f>
        <x:v>4314211.2</x:v>
      </x:c>
      <x:c r="F19" t="n">
        <x:f>'Monthly FP&amp;A'!N28</x:f>
        <x:v>699069.488</x:v>
      </x:c>
    </x:row>
    <x:row r="20">
      <x:c r="A20" t="str">
        <x:v>2027-02</x:v>
      </x:c>
      <x:c r="B20" t="n">
        <x:f>'Monthly FP&amp;A'!O16</x:f>
        <x:v>365079</x:v>
      </x:c>
      <x:c r="C20" t="n">
        <x:f>'Monthly FP&amp;A'!O29</x:f>
        <x:v>-402374.17999999993</x:v>
      </x:c>
      <x:c r="D20" t="n">
        <x:f>'Monthly FP&amp;A'!O40</x:f>
        <x:v>427845.74600000016</x:v>
      </x:c>
      <x:c r="E20" t="n">
        <x:f>'Monthly FP&amp;A'!O17</x:f>
        <x:v>4447684.800000001</x:v>
      </x:c>
      <x:c r="F20" t="n">
        <x:f>'Monthly FP&amp;A'!O28</x:f>
        <x:v>701738.96</x:v>
      </x:c>
    </x:row>
    <x:row r="21">
      <x:c r="A21" t="str">
        <x:v>2027-03</x:v>
      </x:c>
      <x:c r="B21" t="n">
        <x:f>'Monthly FP&amp;A'!P16</x:f>
        <x:v>376201.8</x:v>
      </x:c>
      <x:c r="C21" t="n">
        <x:f>'Monthly FP&amp;A'!P29</x:f>
        <x:v>-395922.956</x:v>
      </x:c>
      <x:c r="D21" t="n">
        <x:f>'Monthly FP&amp;A'!P40</x:f>
        <x:v>9032.966000000131</x:v>
      </x:c>
      <x:c r="E21" t="n">
        <x:f>'Monthly FP&amp;A'!P17</x:f>
        <x:v>4581158.4</x:v>
      </x:c>
      <x:c r="F21" t="n">
        <x:f>'Monthly FP&amp;A'!P28</x:f>
        <x:v>704408.432</x:v>
      </x:c>
    </x:row>
    <x:row r="22">
      <x:c r="A22" t="str">
        <x:v>2027-04</x:v>
      </x:c>
      <x:c r="B22" t="n">
        <x:f>'Monthly FP&amp;A'!Q16</x:f>
        <x:v>387504</x:v>
      </x:c>
      <x:c r="C22" t="n">
        <x:f>'Monthly FP&amp;A'!Q29</x:f>
        <x:v>-408711.67999999993</x:v>
      </x:c>
      <x:c r="D22" t="n">
        <x:f>'Monthly FP&amp;A'!Q40</x:f>
        <x:v>-422582.8899999998</x:v>
      </x:c>
      <x:c r="E22" t="n">
        <x:f>'Monthly FP&amp;A'!Q17</x:f>
        <x:v>4718937.6</x:v>
      </x:c>
      <x:c r="F22" t="n">
        <x:f>'Monthly FP&amp;A'!Q28</x:f>
        <x:v>726464.96</x:v>
      </x:c>
    </x:row>
    <x:row r="23">
      <x:c r="A23" t="str">
        <x:v>2027-05</x:v>
      </x:c>
      <x:c r="B23" t="n">
        <x:f>'Monthly FP&amp;A'!R16</x:f>
        <x:v>398985.60000000003</x:v>
      </x:c>
      <x:c r="C23" t="n">
        <x:f>'Monthly FP&amp;A'!R29</x:f>
        <x:v>-402052.35199999996</x:v>
      </x:c>
      <x:c r="D23" t="n">
        <x:f>'Monthly FP&amp;A'!R40</x:f>
        <x:v>-847553.7699999998</x:v>
      </x:c>
      <x:c r="E23" t="n">
        <x:f>'Monthly FP&amp;A'!R17</x:f>
        <x:v>4856716.800000001</x:v>
      </x:c>
      <x:c r="F23" t="n">
        <x:f>'Monthly FP&amp;A'!R28</x:f>
        <x:v>729220.544</x:v>
      </x:c>
    </x:row>
    <x:row r="24">
      <x:c r="A24" t="str">
        <x:v>2027-06</x:v>
      </x:c>
      <x:c r="B24" t="n">
        <x:f>'Monthly FP&amp;A'!S16</x:f>
        <x:v>410646.60000000003</x:v>
      </x:c>
      <x:c r="C24" t="n">
        <x:f>'Monthly FP&amp;A'!S29</x:f>
        <x:v>-395288.97199999995</x:v>
      </x:c>
      <x:c r="D24" t="n">
        <x:f>'Monthly FP&amp;A'!S40</x:f>
        <x:v>-1265775.6219999997</x:v>
      </x:c>
      <x:c r="E24" t="n">
        <x:f>'Monthly FP&amp;A'!S17</x:f>
        <x:v>4998801.6</x:v>
      </x:c>
      <x:c r="F24" t="n">
        <x:f>'Monthly FP&amp;A'!S28</x:f>
        <x:v>732019.184</x:v>
      </x:c>
    </x:row>
    <x:row r="25">
      <x:c r="A25" t="str">
        <x:v>2027-07</x:v>
      </x:c>
      <x:c r="B25" t="n">
        <x:f>'Monthly FP&amp;A'!T16</x:f>
        <x:v>422307.60000000003</x:v>
      </x:c>
      <x:c r="C25" t="n">
        <x:f>'Monthly FP&amp;A'!T29</x:f>
        <x:v>-407869.592</x:v>
      </x:c>
      <x:c r="D25" t="n">
        <x:f>'Monthly FP&amp;A'!T40</x:f>
        <x:v>-1696578.0939999998</x:v>
      </x:c>
      <x:c r="E25" t="n">
        <x:f>'Monthly FP&amp;A'!T17</x:f>
        <x:v>5136580.800000001</x:v>
      </x:c>
      <x:c r="F25" t="n">
        <x:f>'Monthly FP&amp;A'!T28</x:f>
        <x:v>754161.824</x:v>
      </x:c>
    </x:row>
    <x:row r="26">
      <x:c r="A26" t="str">
        <x:v>2027-08</x:v>
      </x:c>
      <x:c r="B26" t="n">
        <x:f>'Monthly FP&amp;A'!U16</x:f>
        <x:v>433968.60000000003</x:v>
      </x:c>
      <x:c r="C26" t="n">
        <x:f>'Monthly FP&amp;A'!U29</x:f>
        <x:v>-401106.212</x:v>
      </x:c>
      <x:c r="D26" t="n">
        <x:f>'Monthly FP&amp;A'!U40</x:f>
        <x:v>-2120617.1859999998</x:v>
      </x:c>
      <x:c r="E26" t="n">
        <x:f>'Monthly FP&amp;A'!U17</x:f>
        <x:v>5278665.6</x:v>
      </x:c>
      <x:c r="F26" t="n">
        <x:f>'Monthly FP&amp;A'!U28</x:f>
        <x:v>756960.464</x:v>
      </x:c>
    </x:row>
    <x:row r="27">
      <x:c r="A27" t="str">
        <x:v>2027-09</x:v>
      </x:c>
      <x:c r="B27" t="n">
        <x:f>'Monthly FP&amp;A'!V16</x:f>
        <x:v>445809</x:v>
      </x:c>
      <x:c r="C27" t="n">
        <x:f>'Monthly FP&amp;A'!V29</x:f>
        <x:v>-394238.7799999999</x:v>
      </x:c>
      <x:c r="D27" t="n">
        <x:f>'Monthly FP&amp;A'!V40</x:f>
        <x:v>-2537803.198</x:v>
      </x:c>
      <x:c r="E27" t="n">
        <x:f>'Monthly FP&amp;A'!V17</x:f>
        <x:v>5420750.4</x:v>
      </x:c>
      <x:c r="F27" t="n">
        <x:f>'Monthly FP&amp;A'!V28</x:f>
        <x:v>759802.1599999999</x:v>
      </x:c>
    </x:row>
    <x:row r="28">
      <x:c r="A28" t="str">
        <x:v>2027-10</x:v>
      </x:c>
      <x:c r="B28" t="n">
        <x:f>'Monthly FP&amp;A'!W16</x:f>
        <x:v>457828.8</x:v>
      </x:c>
      <x:c r="C28" t="n">
        <x:f>'Monthly FP&amp;A'!W29</x:f>
        <x:v>-406611.29600000003</x:v>
      </x:c>
      <x:c r="D28" t="n">
        <x:f>'Monthly FP&amp;A'!W40</x:f>
        <x:v>-2967376.0779999997</x:v>
      </x:c>
      <x:c r="E28" t="n">
        <x:f>'Monthly FP&amp;A'!W17</x:f>
        <x:v>5567140.800000001</x:v>
      </x:c>
      <x:c r="F28" t="n">
        <x:f>'Monthly FP&amp;A'!W28</x:f>
        <x:v>782030.912</x:v>
      </x:c>
    </x:row>
    <x:row r="29">
      <x:c r="A29" t="str">
        <x:v>2027-11</x:v>
      </x:c>
      <x:c r="B29" t="n">
        <x:f>'Monthly FP&amp;A'!X16</x:f>
        <x:v>470028</x:v>
      </x:c>
      <x:c r="C29" t="n">
        <x:f>'Monthly FP&amp;A'!X29</x:f>
        <x:v>-399535.75999999995</x:v>
      </x:c>
      <x:c r="D29" t="n">
        <x:f>'Monthly FP&amp;A'!X40</x:f>
        <x:v>-3389887.7739999997</x:v>
      </x:c>
      <x:c r="E29" t="n">
        <x:f>'Monthly FP&amp;A'!X17</x:f>
        <x:v>5713531.2</x:v>
      </x:c>
      <x:c r="F29" t="n">
        <x:f>'Monthly FP&amp;A'!X28</x:f>
        <x:v>784958.72</x:v>
      </x:c>
    </x:row>
    <x:row r="30">
      <x:c r="A30" t="str">
        <x:v>2027-12</x:v>
      </x:c>
      <x:c r="B30" t="n">
        <x:f>'Monthly FP&amp;A'!Y16</x:f>
        <x:v>482406.60000000003</x:v>
      </x:c>
      <x:c r="C30" t="n">
        <x:f>'Monthly FP&amp;A'!Y29</x:f>
        <x:v>-392356.172</x:v>
      </x:c>
      <x:c r="D30" t="n">
        <x:f>'Monthly FP&amp;A'!Y40</x:f>
        <x:v>-3805234.2339999997</x:v>
      </x:c>
      <x:c r="E30" t="n">
        <x:f>'Monthly FP&amp;A'!Y17</x:f>
        <x:v>5864227.2</x:v>
      </x:c>
      <x:c r="F30" t="n">
        <x:f>'Monthly FP&amp;A'!Y28</x:f>
        <x:v>787929.584</x:v>
      </x:c>
    </x:row>
  </x:sheetData>
  <x:mergeCells>
    <x:mergeCell ref="A1:P2"/>
    <x:mergeCell ref="A3:P3"/>
    <x:mergeCell ref="A5:P5"/>
    <x:mergeCell ref="A16:P16"/>
  </x:mergeCells>
  <x:pageMargins left="0.7" right="0.7" top="0.75" bottom="0.75" header="0.3" footer="0.3"/>
  <x:drawing xmlns:r="http://schemas.openxmlformats.org/officeDocument/2006/relationships" r:id="R4356ed23ea734687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5" hidden="0" customWidth="1"/>
    <x:col min="3" max="3" width="15" hidden="0" customWidth="1"/>
    <x:col min="4" max="4" width="3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5" customHeight="1">
      <x:c r="A1" s="3" t="str">
        <x:v>ASSUMPTIONS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2" customHeight="1">
      <x:c r="A3" s="7" t="str">
        <x:v>SYNTHETIC SAAS CASE STUDY  •  USD  •  FY2026 ILLUSTRATIVE ACTUALS / FY2027 PLAN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5" ht="23" customHeight="1">
      <x:c r="A5" s="10" t="str">
        <x:v>EDITABLE MODEL DRIVERS — BLUE CELLS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6">
      <x:c r="A6" t="str">
        <x:v>Opening customers</x:v>
      </x:c>
      <x:c r="B6" s="12" t="n">
        <x:v>620</x:v>
      </x:c>
      <x:c r="D6" t="str">
        <x:v>Scenario examples</x:v>
      </x:c>
    </x:row>
    <x:row r="7">
      <x:c r="A7" t="str">
        <x:v>Monthly new customer additions</x:v>
      </x:c>
      <x:c r="B7" s="12" t="n">
        <x:v>38</x:v>
      </x:c>
      <x:c r="D7" t="str">
        <x:v>Base: B27 = 1.00, B28 = 1.00</x:v>
      </x:c>
    </x:row>
    <x:row r="8">
      <x:c r="A8" t="str">
        <x:v>Monthly new adds growth</x:v>
      </x:c>
      <x:c r="B8" s="12" t="n">
        <x:v>0.017</x:v>
      </x:c>
      <x:c r="D8" t="str">
        <x:v>Upside: 1.12 revenue, 0.97 cost</x:v>
      </x:c>
    </x:row>
    <x:row r="9">
      <x:c r="A9" t="str">
        <x:v>Monthly logo churn</x:v>
      </x:c>
      <x:c r="B9" s="12" t="n">
        <x:v>0.016</x:v>
      </x:c>
      <x:c r="D9" t="str">
        <x:v>Downside: 0.88 revenue, 1.07 cost</x:v>
      </x:c>
    </x:row>
    <x:row r="10">
      <x:c r="A10" t="str">
        <x:v>ARPU / month ($)</x:v>
      </x:c>
      <x:c r="B10" s="12" t="n">
        <x:v>345</x:v>
      </x:c>
    </x:row>
    <x:row r="11">
      <x:c r="A11" t="str">
        <x:v>Annual price uplift</x:v>
      </x:c>
      <x:c r="B11" s="12" t="n">
        <x:v>0.04</x:v>
      </x:c>
      <x:c r="D11" t="str">
        <x:v>All figures are illustrative, not client data.</x:v>
      </x:c>
    </x:row>
    <x:row r="12">
      <x:c r="A12" t="str">
        <x:v>Cost of service / revenue</x:v>
      </x:c>
      <x:c r="B12" s="12" t="n">
        <x:v>0.18</x:v>
      </x:c>
    </x:row>
    <x:row r="13">
      <x:c r="A13" t="str">
        <x:v>Sales &amp; marketing / revenue</x:v>
      </x:c>
      <x:c r="B13" s="12" t="n">
        <x:v>0.24</x:v>
      </x:c>
    </x:row>
    <x:row r="14">
      <x:c r="A14" t="str">
        <x:v>G&amp;A / month ($)</x:v>
      </x:c>
      <x:c r="B14" s="12" t="n">
        <x:v>79000</x:v>
      </x:c>
    </x:row>
    <x:row r="15">
      <x:c r="A15" t="str">
        <x:v>R&amp;D / month ($)</x:v>
      </x:c>
      <x:c r="B15" s="12" t="n">
        <x:v>93000</x:v>
      </x:c>
    </x:row>
    <x:row r="16">
      <x:c r="A16" t="str">
        <x:v>Opening headcount</x:v>
      </x:c>
      <x:c r="B16" s="12" t="n">
        <x:v>37</x:v>
      </x:c>
    </x:row>
    <x:row r="17">
      <x:c r="A17" t="str">
        <x:v>New hires per quarter</x:v>
      </x:c>
      <x:c r="B17" s="12" t="n">
        <x:v>2</x:v>
      </x:c>
    </x:row>
    <x:row r="18">
      <x:c r="A18" t="str">
        <x:v>Fully loaded cost / FTE / month</x:v>
      </x:c>
      <x:c r="B18" s="12" t="n">
        <x:v>9300</x:v>
      </x:c>
    </x:row>
    <x:row r="19">
      <x:c r="A19" t="str">
        <x:v>Salary inflation annually</x:v>
      </x:c>
      <x:c r="B19" s="12" t="n">
        <x:v>0.04</x:v>
      </x:c>
    </x:row>
    <x:row r="20">
      <x:c r="A20" t="str">
        <x:v>Opening cash ($)</x:v>
      </x:c>
      <x:c r="B20" s="12" t="n">
        <x:v>6200000</x:v>
      </x:c>
    </x:row>
    <x:row r="21">
      <x:c r="A21" t="str">
        <x:v>Monthly capex ($)</x:v>
      </x:c>
      <x:c r="B21" s="12" t="n">
        <x:v>22000</x:v>
      </x:c>
    </x:row>
    <x:row r="22">
      <x:c r="A22" t="str">
        <x:v>Monthly depreciation ($)</x:v>
      </x:c>
      <x:c r="B22" s="12" t="n">
        <x:v>16000</x:v>
      </x:c>
    </x:row>
    <x:row r="23">
      <x:c r="A23" t="str">
        <x:v>Tax rate</x:v>
      </x:c>
      <x:c r="B23" s="12" t="n">
        <x:v>0.25</x:v>
      </x:c>
    </x:row>
    <x:row r="24">
      <x:c r="A24" t="str">
        <x:v>Working capital / revenue</x:v>
      </x:c>
      <x:c r="B24" s="12" t="n">
        <x:v>0.08</x:v>
      </x:c>
    </x:row>
    <x:row r="25">
      <x:c r="A25" t="str">
        <x:v>Budget revenue uplift vs baseline</x:v>
      </x:c>
      <x:c r="B25" s="12" t="n">
        <x:v>0.05</x:v>
      </x:c>
    </x:row>
    <x:row r="26">
      <x:c r="A26" t="str">
        <x:v>Budget opex savings vs baseline</x:v>
      </x:c>
      <x:c r="B26" s="12" t="n">
        <x:v>0.03</x:v>
      </x:c>
    </x:row>
    <x:row r="27">
      <x:c r="A27" t="str">
        <x:v>Scenario revenue multiplier</x:v>
      </x:c>
      <x:c r="B27" s="14" t="n">
        <x:v>1</x:v>
      </x:c>
    </x:row>
    <x:row r="28">
      <x:c r="A28" t="str">
        <x:v>Scenario cost multiplier</x:v>
      </x:c>
      <x:c r="B28" s="14" t="n">
        <x:v>1</x:v>
      </x:c>
    </x:row>
    <x:row r="29">
      <x:c r="A29" t="str">
        <x:v>CAC / new customer ($)</x:v>
      </x:c>
      <x:c r="B29" s="12" t="n">
        <x:v>1800</x:v>
      </x:c>
    </x:row>
    <x:row r="30">
      <x:c r="A30" t="str">
        <x:v>Gross retention (monthly)</x:v>
      </x:c>
      <x:c r="B30" s="12" t="n">
        <x:v>0.984</x:v>
      </x:c>
    </x:row>
  </x:sheetData>
  <x:mergeCells>
    <x:mergeCell ref="A1:P2"/>
    <x:mergeCell ref="A3:P3"/>
    <x:mergeCell ref="A5:P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3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5" customHeight="1">
      <x:c r="A1" s="3" t="str">
        <x:v>MONTHLY FP&amp;A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2" customHeight="1">
      <x:c r="A3" s="7" t="str">
        <x:v>SYNTHETIC SAAS CASE STUDY  •  USD  •  FY2026 ILLUSTRATIVE ACTUALS / FY2027 PLAN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5" ht="23" customHeight="1">
      <x:c r="A5" s="10" t="str">
        <x:v>24-MONTH OPERATING MODEL — 2026 ACTUALS / 2027 FORECAST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7">
      <x:c r="A7" t="str">
        <x:v>Month</x:v>
      </x:c>
      <x:c r="B7" s="6" t="str">
        <x:v>2026-01</x:v>
      </x:c>
      <x:c r="C7" s="6" t="str">
        <x:v>2026-02</x:v>
      </x:c>
      <x:c r="D7" s="6" t="str">
        <x:v>2026-03</x:v>
      </x:c>
      <x:c r="E7" s="6" t="str">
        <x:v>2026-04</x:v>
      </x:c>
      <x:c r="F7" s="6" t="str">
        <x:v>2026-05</x:v>
      </x:c>
      <x:c r="G7" s="6" t="str">
        <x:v>2026-06</x:v>
      </x:c>
      <x:c r="H7" s="6" t="str">
        <x:v>2026-07</x:v>
      </x:c>
      <x:c r="I7" s="6" t="str">
        <x:v>2026-08</x:v>
      </x:c>
      <x:c r="J7" s="6" t="str">
        <x:v>2026-09</x:v>
      </x:c>
      <x:c r="K7" s="6" t="str">
        <x:v>2026-10</x:v>
      </x:c>
      <x:c r="L7" s="6" t="str">
        <x:v>2026-11</x:v>
      </x:c>
      <x:c r="M7" s="6" t="str">
        <x:v>2026-12</x:v>
      </x:c>
      <x:c r="N7" s="6" t="str">
        <x:v>2027-01</x:v>
      </x:c>
      <x:c r="O7" s="6" t="str">
        <x:v>2027-02</x:v>
      </x:c>
      <x:c r="P7" s="6" t="str">
        <x:v>2027-03</x:v>
      </x:c>
      <x:c r="Q7" s="6" t="str">
        <x:v>2027-04</x:v>
      </x:c>
      <x:c r="R7" s="6" t="str">
        <x:v>2027-05</x:v>
      </x:c>
      <x:c r="S7" s="6" t="str">
        <x:v>2027-06</x:v>
      </x:c>
      <x:c r="T7" s="6" t="str">
        <x:v>2027-07</x:v>
      </x:c>
      <x:c r="U7" s="6" t="str">
        <x:v>2027-08</x:v>
      </x:c>
      <x:c r="V7" s="6" t="str">
        <x:v>2027-09</x:v>
      </x:c>
      <x:c r="W7" s="6" t="str">
        <x:v>2027-10</x:v>
      </x:c>
      <x:c r="X7" s="6" t="str">
        <x:v>2027-11</x:v>
      </x:c>
      <x:c r="Y7" s="6" t="str">
        <x:v>2027-12</x:v>
      </x:c>
    </x:row>
    <x:row r="8">
      <x:c r="A8" t="str">
        <x:v>Classification</x:v>
      </x:c>
      <x:c r="B8" s="6" t="str">
        <x:v>Actual</x:v>
      </x:c>
      <x:c r="C8" s="6" t="str">
        <x:v>Actual</x:v>
      </x:c>
      <x:c r="D8" s="6" t="str">
        <x:v>Actual</x:v>
      </x:c>
      <x:c r="E8" s="6" t="str">
        <x:v>Actual</x:v>
      </x:c>
      <x:c r="F8" s="6" t="str">
        <x:v>Actual</x:v>
      </x:c>
      <x:c r="G8" s="6" t="str">
        <x:v>Actual</x:v>
      </x:c>
      <x:c r="H8" s="6" t="str">
        <x:v>Actual</x:v>
      </x:c>
      <x:c r="I8" s="6" t="str">
        <x:v>Actual</x:v>
      </x:c>
      <x:c r="J8" s="6" t="str">
        <x:v>Actual</x:v>
      </x:c>
      <x:c r="K8" s="6" t="str">
        <x:v>Actual</x:v>
      </x:c>
      <x:c r="L8" s="6" t="str">
        <x:v>Actual</x:v>
      </x:c>
      <x:c r="M8" s="6" t="str">
        <x:v>Actual</x:v>
      </x:c>
      <x:c r="N8" s="6" t="str">
        <x:v>Forecast</x:v>
      </x:c>
      <x:c r="O8" s="6" t="str">
        <x:v>Forecast</x:v>
      </x:c>
      <x:c r="P8" s="6" t="str">
        <x:v>Forecast</x:v>
      </x:c>
      <x:c r="Q8" s="6" t="str">
        <x:v>Forecast</x:v>
      </x:c>
      <x:c r="R8" s="6" t="str">
        <x:v>Forecast</x:v>
      </x:c>
      <x:c r="S8" s="6" t="str">
        <x:v>Forecast</x:v>
      </x:c>
      <x:c r="T8" s="6" t="str">
        <x:v>Forecast</x:v>
      </x:c>
      <x:c r="U8" s="6" t="str">
        <x:v>Forecast</x:v>
      </x:c>
      <x:c r="V8" s="6" t="str">
        <x:v>Forecast</x:v>
      </x:c>
      <x:c r="W8" s="6" t="str">
        <x:v>Forecast</x:v>
      </x:c>
      <x:c r="X8" s="6" t="str">
        <x:v>Forecast</x:v>
      </x:c>
      <x:c r="Y8" s="6" t="str">
        <x:v>Forecast</x:v>
      </x:c>
    </x:row>
    <x:row r="10">
      <x:c r="A10" t="str">
        <x:v>Opening customers</x:v>
      </x:c>
      <x:c r="B10" s="16" t="n">
        <x:f>Assumptions!$B$6</x:f>
        <x:v>620</x:v>
      </x:c>
      <x:c r="C10" s="16" t="n">
        <x:f>B13</x:f>
        <x:v>648</x:v>
      </x:c>
      <x:c r="D10" s="16" t="n">
        <x:f>C13</x:f>
        <x:v>677</x:v>
      </x:c>
      <x:c r="E10" s="16" t="n">
        <x:f>D13</x:f>
        <x:v>705</x:v>
      </x:c>
      <x:c r="F10" s="16" t="n">
        <x:f>E13</x:f>
        <x:v>734</x:v>
      </x:c>
      <x:c r="G10" s="16" t="n">
        <x:f>F13</x:f>
        <x:v>763</x:v>
      </x:c>
      <x:c r="H10" s="16" t="n">
        <x:f>G13</x:f>
        <x:v>792</x:v>
      </x:c>
      <x:c r="I10" s="16" t="n">
        <x:f>H13</x:f>
        <x:v>821</x:v>
      </x:c>
      <x:c r="J10" s="16" t="n">
        <x:f>I13</x:f>
        <x:v>851</x:v>
      </x:c>
      <x:c r="K10" s="16" t="n">
        <x:f>J13</x:f>
        <x:v>880</x:v>
      </x:c>
      <x:c r="L10" s="16" t="n">
        <x:f>K13</x:f>
        <x:v>910</x:v>
      </x:c>
      <x:c r="M10" s="16" t="n">
        <x:f>L13</x:f>
        <x:v>940</x:v>
      </x:c>
      <x:c r="N10" s="16" t="n">
        <x:f>M13</x:f>
        <x:v>971</x:v>
      </x:c>
      <x:c r="O10" s="16" t="n">
        <x:f>N13</x:f>
        <x:v>1002</x:v>
      </x:c>
      <x:c r="P10" s="16" t="n">
        <x:f>O13</x:f>
        <x:v>1033</x:v>
      </x:c>
      <x:c r="Q10" s="16" t="n">
        <x:f>P13</x:f>
        <x:v>1064</x:v>
      </x:c>
      <x:c r="R10" s="16" t="n">
        <x:f>Q13</x:f>
        <x:v>1096</x:v>
      </x:c>
      <x:c r="S10" s="16" t="n">
        <x:f>R13</x:f>
        <x:v>1128</x:v>
      </x:c>
      <x:c r="T10" s="16" t="n">
        <x:f>S13</x:f>
        <x:v>1161</x:v>
      </x:c>
      <x:c r="U10" s="16" t="n">
        <x:f>T13</x:f>
        <x:v>1193</x:v>
      </x:c>
      <x:c r="V10" s="16" t="n">
        <x:f>U13</x:f>
        <x:v>1226</x:v>
      </x:c>
      <x:c r="W10" s="16" t="n">
        <x:f>V13</x:f>
        <x:v>1259</x:v>
      </x:c>
      <x:c r="X10" s="16" t="n">
        <x:f>W13</x:f>
        <x:v>1293</x:v>
      </x:c>
      <x:c r="Y10" s="16" t="n">
        <x:f>X13</x:f>
        <x:v>1327</x:v>
      </x:c>
    </x:row>
    <x:row r="11">
      <x:c r="A11" t="str">
        <x:v>New customers</x:v>
      </x:c>
      <x:c r="B11" s="16" t="n">
        <x:f>ROUND(Assumptions!$B$7*(1+Assumptions!$B$8)^0,0)</x:f>
        <x:v>38</x:v>
      </x:c>
      <x:c r="C11" s="16" t="n">
        <x:f>ROUND(Assumptions!$B$7*(1+Assumptions!$B$8)^1,0)</x:f>
        <x:v>39</x:v>
      </x:c>
      <x:c r="D11" s="16" t="n">
        <x:f>ROUND(Assumptions!$B$7*(1+Assumptions!$B$8)^2,0)</x:f>
        <x:v>39</x:v>
      </x:c>
      <x:c r="E11" s="16" t="n">
        <x:f>ROUND(Assumptions!$B$7*(1+Assumptions!$B$8)^3,0)</x:f>
        <x:v>40</x:v>
      </x:c>
      <x:c r="F11" s="16" t="n">
        <x:f>ROUND(Assumptions!$B$7*(1+Assumptions!$B$8)^4,0)</x:f>
        <x:v>41</x:v>
      </x:c>
      <x:c r="G11" s="16" t="n">
        <x:f>ROUND(Assumptions!$B$7*(1+Assumptions!$B$8)^5,0)</x:f>
        <x:v>41</x:v>
      </x:c>
      <x:c r="H11" s="16" t="n">
        <x:f>ROUND(Assumptions!$B$7*(1+Assumptions!$B$8)^6,0)</x:f>
        <x:v>42</x:v>
      </x:c>
      <x:c r="I11" s="16" t="n">
        <x:f>ROUND(Assumptions!$B$7*(1+Assumptions!$B$8)^7,0)</x:f>
        <x:v>43</x:v>
      </x:c>
      <x:c r="J11" s="16" t="n">
        <x:f>ROUND(Assumptions!$B$7*(1+Assumptions!$B$8)^8,0)</x:f>
        <x:v>43</x:v>
      </x:c>
      <x:c r="K11" s="16" t="n">
        <x:f>ROUND(Assumptions!$B$7*(1+Assumptions!$B$8)^9,0)</x:f>
        <x:v>44</x:v>
      </x:c>
      <x:c r="L11" s="16" t="n">
        <x:f>ROUND(Assumptions!$B$7*(1+Assumptions!$B$8)^10,0)</x:f>
        <x:v>45</x:v>
      </x:c>
      <x:c r="M11" s="16" t="n">
        <x:f>ROUND(Assumptions!$B$7*(1+Assumptions!$B$8)^11,0)</x:f>
        <x:v>46</x:v>
      </x:c>
      <x:c r="N11" s="16" t="n">
        <x:f>ROUND(Assumptions!$B$7*(1+Assumptions!$B$8)^12,0)</x:f>
        <x:v>47</x:v>
      </x:c>
      <x:c r="O11" s="16" t="n">
        <x:f>ROUND(Assumptions!$B$7*(1+Assumptions!$B$8)^13,0)</x:f>
        <x:v>47</x:v>
      </x:c>
      <x:c r="P11" s="16" t="n">
        <x:f>ROUND(Assumptions!$B$7*(1+Assumptions!$B$8)^14,0)</x:f>
        <x:v>48</x:v>
      </x:c>
      <x:c r="Q11" s="16" t="n">
        <x:f>ROUND(Assumptions!$B$7*(1+Assumptions!$B$8)^15,0)</x:f>
        <x:v>49</x:v>
      </x:c>
      <x:c r="R11" s="16" t="n">
        <x:f>ROUND(Assumptions!$B$7*(1+Assumptions!$B$8)^16,0)</x:f>
        <x:v>50</x:v>
      </x:c>
      <x:c r="S11" s="16" t="n">
        <x:f>ROUND(Assumptions!$B$7*(1+Assumptions!$B$8)^17,0)</x:f>
        <x:v>51</x:v>
      </x:c>
      <x:c r="T11" s="16" t="n">
        <x:f>ROUND(Assumptions!$B$7*(1+Assumptions!$B$8)^18,0)</x:f>
        <x:v>51</x:v>
      </x:c>
      <x:c r="U11" s="16" t="n">
        <x:f>ROUND(Assumptions!$B$7*(1+Assumptions!$B$8)^19,0)</x:f>
        <x:v>52</x:v>
      </x:c>
      <x:c r="V11" s="16" t="n">
        <x:f>ROUND(Assumptions!$B$7*(1+Assumptions!$B$8)^20,0)</x:f>
        <x:v>53</x:v>
      </x:c>
      <x:c r="W11" s="16" t="n">
        <x:f>ROUND(Assumptions!$B$7*(1+Assumptions!$B$8)^21,0)</x:f>
        <x:v>54</x:v>
      </x:c>
      <x:c r="X11" s="16" t="n">
        <x:f>ROUND(Assumptions!$B$7*(1+Assumptions!$B$8)^22,0)</x:f>
        <x:v>55</x:v>
      </x:c>
      <x:c r="Y11" s="16" t="n">
        <x:f>ROUND(Assumptions!$B$7*(1+Assumptions!$B$8)^23,0)</x:f>
        <x:v>56</x:v>
      </x:c>
    </x:row>
    <x:row r="12">
      <x:c r="A12" t="str">
        <x:v>Churned customers</x:v>
      </x:c>
      <x:c r="B12" s="16" t="n">
        <x:f>ROUND(B10*Assumptions!$B$9,0)</x:f>
        <x:v>10</x:v>
      </x:c>
      <x:c r="C12" s="16" t="n">
        <x:f>ROUND(C10*Assumptions!$B$9,0)</x:f>
        <x:v>10</x:v>
      </x:c>
      <x:c r="D12" s="16" t="n">
        <x:f>ROUND(D10*Assumptions!$B$9,0)</x:f>
        <x:v>11</x:v>
      </x:c>
      <x:c r="E12" s="16" t="n">
        <x:f>ROUND(E10*Assumptions!$B$9,0)</x:f>
        <x:v>11</x:v>
      </x:c>
      <x:c r="F12" s="16" t="n">
        <x:f>ROUND(F10*Assumptions!$B$9,0)</x:f>
        <x:v>12</x:v>
      </x:c>
      <x:c r="G12" s="16" t="n">
        <x:f>ROUND(G10*Assumptions!$B$9,0)</x:f>
        <x:v>12</x:v>
      </x:c>
      <x:c r="H12" s="16" t="n">
        <x:f>ROUND(H10*Assumptions!$B$9,0)</x:f>
        <x:v>13</x:v>
      </x:c>
      <x:c r="I12" s="16" t="n">
        <x:f>ROUND(I10*Assumptions!$B$9,0)</x:f>
        <x:v>13</x:v>
      </x:c>
      <x:c r="J12" s="16" t="n">
        <x:f>ROUND(J10*Assumptions!$B$9,0)</x:f>
        <x:v>14</x:v>
      </x:c>
      <x:c r="K12" s="16" t="n">
        <x:f>ROUND(K10*Assumptions!$B$9,0)</x:f>
        <x:v>14</x:v>
      </x:c>
      <x:c r="L12" s="16" t="n">
        <x:f>ROUND(L10*Assumptions!$B$9,0)</x:f>
        <x:v>15</x:v>
      </x:c>
      <x:c r="M12" s="16" t="n">
        <x:f>ROUND(M10*Assumptions!$B$9,0)</x:f>
        <x:v>15</x:v>
      </x:c>
      <x:c r="N12" s="16" t="n">
        <x:f>ROUND(N10*Assumptions!$B$9,0)</x:f>
        <x:v>16</x:v>
      </x:c>
      <x:c r="O12" s="16" t="n">
        <x:f>ROUND(O10*Assumptions!$B$9,0)</x:f>
        <x:v>16</x:v>
      </x:c>
      <x:c r="P12" s="16" t="n">
        <x:f>ROUND(P10*Assumptions!$B$9,0)</x:f>
        <x:v>17</x:v>
      </x:c>
      <x:c r="Q12" s="16" t="n">
        <x:f>ROUND(Q10*Assumptions!$B$9,0)</x:f>
        <x:v>17</x:v>
      </x:c>
      <x:c r="R12" s="16" t="n">
        <x:f>ROUND(R10*Assumptions!$B$9,0)</x:f>
        <x:v>18</x:v>
      </x:c>
      <x:c r="S12" s="16" t="n">
        <x:f>ROUND(S10*Assumptions!$B$9,0)</x:f>
        <x:v>18</x:v>
      </x:c>
      <x:c r="T12" s="16" t="n">
        <x:f>ROUND(T10*Assumptions!$B$9,0)</x:f>
        <x:v>19</x:v>
      </x:c>
      <x:c r="U12" s="16" t="n">
        <x:f>ROUND(U10*Assumptions!$B$9,0)</x:f>
        <x:v>19</x:v>
      </x:c>
      <x:c r="V12" s="16" t="n">
        <x:f>ROUND(V10*Assumptions!$B$9,0)</x:f>
        <x:v>20</x:v>
      </x:c>
      <x:c r="W12" s="16" t="n">
        <x:f>ROUND(W10*Assumptions!$B$9,0)</x:f>
        <x:v>20</x:v>
      </x:c>
      <x:c r="X12" s="16" t="n">
        <x:f>ROUND(X10*Assumptions!$B$9,0)</x:f>
        <x:v>21</x:v>
      </x:c>
      <x:c r="Y12" s="16" t="n">
        <x:f>ROUND(Y10*Assumptions!$B$9,0)</x:f>
        <x:v>21</x:v>
      </x:c>
    </x:row>
    <x:row r="13">
      <x:c r="A13" t="str">
        <x:v>Closing customers</x:v>
      </x:c>
      <x:c r="B13" s="16" t="n">
        <x:f>B10+B11-B12</x:f>
        <x:v>648</x:v>
      </x:c>
      <x:c r="C13" s="16" t="n">
        <x:f>C10+C11-C12</x:f>
        <x:v>677</x:v>
      </x:c>
      <x:c r="D13" s="16" t="n">
        <x:f>D10+D11-D12</x:f>
        <x:v>705</x:v>
      </x:c>
      <x:c r="E13" s="16" t="n">
        <x:f>E10+E11-E12</x:f>
        <x:v>734</x:v>
      </x:c>
      <x:c r="F13" s="16" t="n">
        <x:f>F10+F11-F12</x:f>
        <x:v>763</x:v>
      </x:c>
      <x:c r="G13" s="16" t="n">
        <x:f>G10+G11-G12</x:f>
        <x:v>792</x:v>
      </x:c>
      <x:c r="H13" s="16" t="n">
        <x:f>H10+H11-H12</x:f>
        <x:v>821</x:v>
      </x:c>
      <x:c r="I13" s="16" t="n">
        <x:f>I10+I11-I12</x:f>
        <x:v>851</x:v>
      </x:c>
      <x:c r="J13" s="16" t="n">
        <x:f>J10+J11-J12</x:f>
        <x:v>880</x:v>
      </x:c>
      <x:c r="K13" s="16" t="n">
        <x:f>K10+K11-K12</x:f>
        <x:v>910</x:v>
      </x:c>
      <x:c r="L13" s="16" t="n">
        <x:f>L10+L11-L12</x:f>
        <x:v>940</x:v>
      </x:c>
      <x:c r="M13" s="16" t="n">
        <x:f>M10+M11-M12</x:f>
        <x:v>971</x:v>
      </x:c>
      <x:c r="N13" s="16" t="n">
        <x:f>N10+N11-N12</x:f>
        <x:v>1002</x:v>
      </x:c>
      <x:c r="O13" s="16" t="n">
        <x:f>O10+O11-O12</x:f>
        <x:v>1033</x:v>
      </x:c>
      <x:c r="P13" s="16" t="n">
        <x:f>P10+P11-P12</x:f>
        <x:v>1064</x:v>
      </x:c>
      <x:c r="Q13" s="16" t="n">
        <x:f>Q10+Q11-Q12</x:f>
        <x:v>1096</x:v>
      </x:c>
      <x:c r="R13" s="16" t="n">
        <x:f>R10+R11-R12</x:f>
        <x:v>1128</x:v>
      </x:c>
      <x:c r="S13" s="16" t="n">
        <x:f>S10+S11-S12</x:f>
        <x:v>1161</x:v>
      </x:c>
      <x:c r="T13" s="16" t="n">
        <x:f>T10+T11-T12</x:f>
        <x:v>1193</x:v>
      </x:c>
      <x:c r="U13" s="16" t="n">
        <x:f>U10+U11-U12</x:f>
        <x:v>1226</x:v>
      </x:c>
      <x:c r="V13" s="16" t="n">
        <x:f>V10+V11-V12</x:f>
        <x:v>1259</x:v>
      </x:c>
      <x:c r="W13" s="16" t="n">
        <x:f>W10+W11-W12</x:f>
        <x:v>1293</x:v>
      </x:c>
      <x:c r="X13" s="16" t="n">
        <x:f>X10+X11-X12</x:f>
        <x:v>1327</x:v>
      </x:c>
      <x:c r="Y13" s="16" t="n">
        <x:f>Y10+Y11-Y12</x:f>
        <x:v>1362</x:v>
      </x:c>
    </x:row>
    <x:row r="14">
      <x:c r="A14" t="str">
        <x:v>Average customers</x:v>
      </x:c>
      <x:c r="B14" s="16" t="n">
        <x:f>AVERAGE(B10,B13)</x:f>
        <x:v>634</x:v>
      </x:c>
      <x:c r="C14" s="16" t="n">
        <x:f>AVERAGE(C10,C13)</x:f>
        <x:v>662.5</x:v>
      </x:c>
      <x:c r="D14" s="16" t="n">
        <x:f>AVERAGE(D10,D13)</x:f>
        <x:v>691</x:v>
      </x:c>
      <x:c r="E14" s="16" t="n">
        <x:f>AVERAGE(E10,E13)</x:f>
        <x:v>719.5</x:v>
      </x:c>
      <x:c r="F14" s="16" t="n">
        <x:f>AVERAGE(F10,F13)</x:f>
        <x:v>748.5</x:v>
      </x:c>
      <x:c r="G14" s="16" t="n">
        <x:f>AVERAGE(G10,G13)</x:f>
        <x:v>777.5</x:v>
      </x:c>
      <x:c r="H14" s="16" t="n">
        <x:f>AVERAGE(H10,H13)</x:f>
        <x:v>806.5</x:v>
      </x:c>
      <x:c r="I14" s="16" t="n">
        <x:f>AVERAGE(I10,I13)</x:f>
        <x:v>836</x:v>
      </x:c>
      <x:c r="J14" s="16" t="n">
        <x:f>AVERAGE(J10,J13)</x:f>
        <x:v>865.5</x:v>
      </x:c>
      <x:c r="K14" s="16" t="n">
        <x:f>AVERAGE(K10,K13)</x:f>
        <x:v>895</x:v>
      </x:c>
      <x:c r="L14" s="16" t="n">
        <x:f>AVERAGE(L10,L13)</x:f>
        <x:v>925</x:v>
      </x:c>
      <x:c r="M14" s="16" t="n">
        <x:f>AVERAGE(M10,M13)</x:f>
        <x:v>955.5</x:v>
      </x:c>
      <x:c r="N14" s="16" t="n">
        <x:f>AVERAGE(N10,N13)</x:f>
        <x:v>986.5</x:v>
      </x:c>
      <x:c r="O14" s="16" t="n">
        <x:f>AVERAGE(O10,O13)</x:f>
        <x:v>1017.5</x:v>
      </x:c>
      <x:c r="P14" s="16" t="n">
        <x:f>AVERAGE(P10,P13)</x:f>
        <x:v>1048.5</x:v>
      </x:c>
      <x:c r="Q14" s="16" t="n">
        <x:f>AVERAGE(Q10,Q13)</x:f>
        <x:v>1080</x:v>
      </x:c>
      <x:c r="R14" s="16" t="n">
        <x:f>AVERAGE(R10,R13)</x:f>
        <x:v>1112</x:v>
      </x:c>
      <x:c r="S14" s="16" t="n">
        <x:f>AVERAGE(S10,S13)</x:f>
        <x:v>1144.5</x:v>
      </x:c>
      <x:c r="T14" s="16" t="n">
        <x:f>AVERAGE(T10,T13)</x:f>
        <x:v>1177</x:v>
      </x:c>
      <x:c r="U14" s="16" t="n">
        <x:f>AVERAGE(U10,U13)</x:f>
        <x:v>1209.5</x:v>
      </x:c>
      <x:c r="V14" s="16" t="n">
        <x:f>AVERAGE(V10,V13)</x:f>
        <x:v>1242.5</x:v>
      </x:c>
      <x:c r="W14" s="16" t="n">
        <x:f>AVERAGE(W10,W13)</x:f>
        <x:v>1276</x:v>
      </x:c>
      <x:c r="X14" s="16" t="n">
        <x:f>AVERAGE(X10,X13)</x:f>
        <x:v>1310</x:v>
      </x:c>
      <x:c r="Y14" s="16" t="n">
        <x:f>AVERAGE(Y10,Y13)</x:f>
        <x:v>1344.5</x:v>
      </x:c>
    </x:row>
    <x:row r="15">
      <x:c r="A15" t="str">
        <x:v>ARPU ($)</x:v>
      </x:c>
      <x:c r="B15" s="16" t="n">
        <x:f>Assumptions!$B$10*(1+Assumptions!$B$11)^INT(0/12)</x:f>
        <x:v>345</x:v>
      </x:c>
      <x:c r="C15" s="16" t="n">
        <x:f>Assumptions!$B$10*(1+Assumptions!$B$11)^INT(1/12)</x:f>
        <x:v>345</x:v>
      </x:c>
      <x:c r="D15" s="16" t="n">
        <x:f>Assumptions!$B$10*(1+Assumptions!$B$11)^INT(2/12)</x:f>
        <x:v>345</x:v>
      </x:c>
      <x:c r="E15" s="16" t="n">
        <x:f>Assumptions!$B$10*(1+Assumptions!$B$11)^INT(3/12)</x:f>
        <x:v>345</x:v>
      </x:c>
      <x:c r="F15" s="16" t="n">
        <x:f>Assumptions!$B$10*(1+Assumptions!$B$11)^INT(4/12)</x:f>
        <x:v>345</x:v>
      </x:c>
      <x:c r="G15" s="16" t="n">
        <x:f>Assumptions!$B$10*(1+Assumptions!$B$11)^INT(5/12)</x:f>
        <x:v>345</x:v>
      </x:c>
      <x:c r="H15" s="16" t="n">
        <x:f>Assumptions!$B$10*(1+Assumptions!$B$11)^INT(6/12)</x:f>
        <x:v>345</x:v>
      </x:c>
      <x:c r="I15" s="16" t="n">
        <x:f>Assumptions!$B$10*(1+Assumptions!$B$11)^INT(7/12)</x:f>
        <x:v>345</x:v>
      </x:c>
      <x:c r="J15" s="16" t="n">
        <x:f>Assumptions!$B$10*(1+Assumptions!$B$11)^INT(8/12)</x:f>
        <x:v>345</x:v>
      </x:c>
      <x:c r="K15" s="16" t="n">
        <x:f>Assumptions!$B$10*(1+Assumptions!$B$11)^INT(9/12)</x:f>
        <x:v>345</x:v>
      </x:c>
      <x:c r="L15" s="16" t="n">
        <x:f>Assumptions!$B$10*(1+Assumptions!$B$11)^INT(10/12)</x:f>
        <x:v>345</x:v>
      </x:c>
      <x:c r="M15" s="16" t="n">
        <x:f>Assumptions!$B$10*(1+Assumptions!$B$11)^INT(11/12)</x:f>
        <x:v>345</x:v>
      </x:c>
      <x:c r="N15" s="16" t="n">
        <x:f>Assumptions!$B$10*(1+Assumptions!$B$11)^INT(12/12)</x:f>
        <x:v>358.8</x:v>
      </x:c>
      <x:c r="O15" s="16" t="n">
        <x:f>Assumptions!$B$10*(1+Assumptions!$B$11)^INT(13/12)</x:f>
        <x:v>358.8</x:v>
      </x:c>
      <x:c r="P15" s="16" t="n">
        <x:f>Assumptions!$B$10*(1+Assumptions!$B$11)^INT(14/12)</x:f>
        <x:v>358.8</x:v>
      </x:c>
      <x:c r="Q15" s="16" t="n">
        <x:f>Assumptions!$B$10*(1+Assumptions!$B$11)^INT(15/12)</x:f>
        <x:v>358.8</x:v>
      </x:c>
      <x:c r="R15" s="16" t="n">
        <x:f>Assumptions!$B$10*(1+Assumptions!$B$11)^INT(16/12)</x:f>
        <x:v>358.8</x:v>
      </x:c>
      <x:c r="S15" s="16" t="n">
        <x:f>Assumptions!$B$10*(1+Assumptions!$B$11)^INT(17/12)</x:f>
        <x:v>358.8</x:v>
      </x:c>
      <x:c r="T15" s="16" t="n">
        <x:f>Assumptions!$B$10*(1+Assumptions!$B$11)^INT(18/12)</x:f>
        <x:v>358.8</x:v>
      </x:c>
      <x:c r="U15" s="16" t="n">
        <x:f>Assumptions!$B$10*(1+Assumptions!$B$11)^INT(19/12)</x:f>
        <x:v>358.8</x:v>
      </x:c>
      <x:c r="V15" s="16" t="n">
        <x:f>Assumptions!$B$10*(1+Assumptions!$B$11)^INT(20/12)</x:f>
        <x:v>358.8</x:v>
      </x:c>
      <x:c r="W15" s="16" t="n">
        <x:f>Assumptions!$B$10*(1+Assumptions!$B$11)^INT(21/12)</x:f>
        <x:v>358.8</x:v>
      </x:c>
      <x:c r="X15" s="16" t="n">
        <x:f>Assumptions!$B$10*(1+Assumptions!$B$11)^INT(22/12)</x:f>
        <x:v>358.8</x:v>
      </x:c>
      <x:c r="Y15" s="16" t="n">
        <x:f>Assumptions!$B$10*(1+Assumptions!$B$11)^INT(23/12)</x:f>
        <x:v>358.8</x:v>
      </x:c>
    </x:row>
    <x:row r="16">
      <x:c r="A16" t="str">
        <x:v>Subscription revenue ($)</x:v>
      </x:c>
      <x:c r="B16" s="16" t="n">
        <x:f>B14*B15*IF(B8="Forecast",Assumptions!$B$27,1)</x:f>
        <x:v>218730</x:v>
      </x:c>
      <x:c r="C16" s="16" t="n">
        <x:f>C14*C15*IF(C8="Forecast",Assumptions!$B$27,1)</x:f>
        <x:v>228562.5</x:v>
      </x:c>
      <x:c r="D16" s="16" t="n">
        <x:f>D14*D15*IF(D8="Forecast",Assumptions!$B$27,1)</x:f>
        <x:v>238395</x:v>
      </x:c>
      <x:c r="E16" s="16" t="n">
        <x:f>E14*E15*IF(E8="Forecast",Assumptions!$B$27,1)</x:f>
        <x:v>248227.5</x:v>
      </x:c>
      <x:c r="F16" s="16" t="n">
        <x:f>F14*F15*IF(F8="Forecast",Assumptions!$B$27,1)</x:f>
        <x:v>258232.5</x:v>
      </x:c>
      <x:c r="G16" s="16" t="n">
        <x:f>G14*G15*IF(G8="Forecast",Assumptions!$B$27,1)</x:f>
        <x:v>268237.5</x:v>
      </x:c>
      <x:c r="H16" s="16" t="n">
        <x:f>H14*H15*IF(H8="Forecast",Assumptions!$B$27,1)</x:f>
        <x:v>278242.5</x:v>
      </x:c>
      <x:c r="I16" s="16" t="n">
        <x:f>I14*I15*IF(I8="Forecast",Assumptions!$B$27,1)</x:f>
        <x:v>288420</x:v>
      </x:c>
      <x:c r="J16" s="16" t="n">
        <x:f>J14*J15*IF(J8="Forecast",Assumptions!$B$27,1)</x:f>
        <x:v>298597.5</x:v>
      </x:c>
      <x:c r="K16" s="16" t="n">
        <x:f>K14*K15*IF(K8="Forecast",Assumptions!$B$27,1)</x:f>
        <x:v>308775</x:v>
      </x:c>
      <x:c r="L16" s="16" t="n">
        <x:f>L14*L15*IF(L8="Forecast",Assumptions!$B$27,1)</x:f>
        <x:v>319125</x:v>
      </x:c>
      <x:c r="M16" s="16" t="n">
        <x:f>M14*M15*IF(M8="Forecast",Assumptions!$B$27,1)</x:f>
        <x:v>329647.5</x:v>
      </x:c>
      <x:c r="N16" s="16" t="n">
        <x:f>N14*N15*IF(N8="Forecast",Assumptions!$B$27,1)</x:f>
        <x:v>353956.2</x:v>
      </x:c>
      <x:c r="O16" s="16" t="n">
        <x:f>O14*O15*IF(O8="Forecast",Assumptions!$B$27,1)</x:f>
        <x:v>365079</x:v>
      </x:c>
      <x:c r="P16" s="16" t="n">
        <x:f>P14*P15*IF(P8="Forecast",Assumptions!$B$27,1)</x:f>
        <x:v>376201.8</x:v>
      </x:c>
      <x:c r="Q16" s="16" t="n">
        <x:f>Q14*Q15*IF(Q8="Forecast",Assumptions!$B$27,1)</x:f>
        <x:v>387504</x:v>
      </x:c>
      <x:c r="R16" s="16" t="n">
        <x:f>R14*R15*IF(R8="Forecast",Assumptions!$B$27,1)</x:f>
        <x:v>398985.60000000003</x:v>
      </x:c>
      <x:c r="S16" s="16" t="n">
        <x:f>S14*S15*IF(S8="Forecast",Assumptions!$B$27,1)</x:f>
        <x:v>410646.60000000003</x:v>
      </x:c>
      <x:c r="T16" s="16" t="n">
        <x:f>T14*T15*IF(T8="Forecast",Assumptions!$B$27,1)</x:f>
        <x:v>422307.60000000003</x:v>
      </x:c>
      <x:c r="U16" s="16" t="n">
        <x:f>U14*U15*IF(U8="Forecast",Assumptions!$B$27,1)</x:f>
        <x:v>433968.60000000003</x:v>
      </x:c>
      <x:c r="V16" s="16" t="n">
        <x:f>V14*V15*IF(V8="Forecast",Assumptions!$B$27,1)</x:f>
        <x:v>445809</x:v>
      </x:c>
      <x:c r="W16" s="16" t="n">
        <x:f>W14*W15*IF(W8="Forecast",Assumptions!$B$27,1)</x:f>
        <x:v>457828.8</x:v>
      </x:c>
      <x:c r="X16" s="16" t="n">
        <x:f>X14*X15*IF(X8="Forecast",Assumptions!$B$27,1)</x:f>
        <x:v>470028</x:v>
      </x:c>
      <x:c r="Y16" s="16" t="n">
        <x:f>Y14*Y15*IF(Y8="Forecast",Assumptions!$B$27,1)</x:f>
        <x:v>482406.60000000003</x:v>
      </x:c>
    </x:row>
    <x:row r="17">
      <x:c r="A17" t="str">
        <x:v>Exit ARR ($)</x:v>
      </x:c>
      <x:c r="B17" s="16" t="n">
        <x:f>B13*B15*12</x:f>
        <x:v>2682720</x:v>
      </x:c>
      <x:c r="C17" s="16" t="n">
        <x:f>C13*C15*12</x:f>
        <x:v>2802780</x:v>
      </x:c>
      <x:c r="D17" s="16" t="n">
        <x:f>D13*D15*12</x:f>
        <x:v>2918700</x:v>
      </x:c>
      <x:c r="E17" s="16" t="n">
        <x:f>E13*E15*12</x:f>
        <x:v>3038760</x:v>
      </x:c>
      <x:c r="F17" s="16" t="n">
        <x:f>F13*F15*12</x:f>
        <x:v>3158820</x:v>
      </x:c>
      <x:c r="G17" s="16" t="n">
        <x:f>G13*G15*12</x:f>
        <x:v>3278880</x:v>
      </x:c>
      <x:c r="H17" s="16" t="n">
        <x:f>H13*H15*12</x:f>
        <x:v>3398940</x:v>
      </x:c>
      <x:c r="I17" s="16" t="n">
        <x:f>I13*I15*12</x:f>
        <x:v>3523140</x:v>
      </x:c>
      <x:c r="J17" s="16" t="n">
        <x:f>J13*J15*12</x:f>
        <x:v>3643200</x:v>
      </x:c>
      <x:c r="K17" s="16" t="n">
        <x:f>K13*K15*12</x:f>
        <x:v>3767400</x:v>
      </x:c>
      <x:c r="L17" s="16" t="n">
        <x:f>L13*L15*12</x:f>
        <x:v>3891600</x:v>
      </x:c>
      <x:c r="M17" s="16" t="n">
        <x:f>M13*M15*12</x:f>
        <x:v>4019940</x:v>
      </x:c>
      <x:c r="N17" s="16" t="n">
        <x:f>N13*N15*12</x:f>
        <x:v>4314211.2</x:v>
      </x:c>
      <x:c r="O17" s="16" t="n">
        <x:f>O13*O15*12</x:f>
        <x:v>4447684.800000001</x:v>
      </x:c>
      <x:c r="P17" s="16" t="n">
        <x:f>P13*P15*12</x:f>
        <x:v>4581158.4</x:v>
      </x:c>
      <x:c r="Q17" s="16" t="n">
        <x:f>Q13*Q15*12</x:f>
        <x:v>4718937.6</x:v>
      </x:c>
      <x:c r="R17" s="16" t="n">
        <x:f>R13*R15*12</x:f>
        <x:v>4856716.800000001</x:v>
      </x:c>
      <x:c r="S17" s="16" t="n">
        <x:f>S13*S15*12</x:f>
        <x:v>4998801.6</x:v>
      </x:c>
      <x:c r="T17" s="16" t="n">
        <x:f>T13*T15*12</x:f>
        <x:v>5136580.800000001</x:v>
      </x:c>
      <x:c r="U17" s="16" t="n">
        <x:f>U13*U15*12</x:f>
        <x:v>5278665.6</x:v>
      </x:c>
      <x:c r="V17" s="16" t="n">
        <x:f>V13*V15*12</x:f>
        <x:v>5420750.4</x:v>
      </x:c>
      <x:c r="W17" s="16" t="n">
        <x:f>W13*W15*12</x:f>
        <x:v>5567140.800000001</x:v>
      </x:c>
      <x:c r="X17" s="16" t="n">
        <x:f>X13*X15*12</x:f>
        <x:v>5713531.2</x:v>
      </x:c>
      <x:c r="Y17" s="16" t="n">
        <x:f>Y13*Y15*12</x:f>
        <x:v>5864227.2</x:v>
      </x:c>
    </x:row>
    <x:row r="18"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s="16"/>
      <x:c r="Y18" s="16"/>
    </x:row>
    <x:row r="19">
      <x:c r="A19" t="str">
        <x:v>Cost of services ($)</x:v>
      </x:c>
      <x:c r="B19" s="16" t="n">
        <x:f>B16*Assumptions!$B$12*IF(B8="Forecast",Assumptions!$B$28,1)</x:f>
        <x:v>39371.4</x:v>
      </x:c>
      <x:c r="C19" s="16" t="n">
        <x:f>C16*Assumptions!$B$12*IF(C8="Forecast",Assumptions!$B$28,1)</x:f>
        <x:v>41141.25</x:v>
      </x:c>
      <x:c r="D19" s="16" t="n">
        <x:f>D16*Assumptions!$B$12*IF(D8="Forecast",Assumptions!$B$28,1)</x:f>
        <x:v>42911.1</x:v>
      </x:c>
      <x:c r="E19" s="16" t="n">
        <x:f>E16*Assumptions!$B$12*IF(E8="Forecast",Assumptions!$B$28,1)</x:f>
        <x:v>44680.95</x:v>
      </x:c>
      <x:c r="F19" s="16" t="n">
        <x:f>F16*Assumptions!$B$12*IF(F8="Forecast",Assumptions!$B$28,1)</x:f>
        <x:v>46481.85</x:v>
      </x:c>
      <x:c r="G19" s="16" t="n">
        <x:f>G16*Assumptions!$B$12*IF(G8="Forecast",Assumptions!$B$28,1)</x:f>
        <x:v>48282.75</x:v>
      </x:c>
      <x:c r="H19" s="16" t="n">
        <x:f>H16*Assumptions!$B$12*IF(H8="Forecast",Assumptions!$B$28,1)</x:f>
        <x:v>50083.65</x:v>
      </x:c>
      <x:c r="I19" s="16" t="n">
        <x:f>I16*Assumptions!$B$12*IF(I8="Forecast",Assumptions!$B$28,1)</x:f>
        <x:v>51915.6</x:v>
      </x:c>
      <x:c r="J19" s="16" t="n">
        <x:f>J16*Assumptions!$B$12*IF(J8="Forecast",Assumptions!$B$28,1)</x:f>
        <x:v>53747.549999999996</x:v>
      </x:c>
      <x:c r="K19" s="16" t="n">
        <x:f>K16*Assumptions!$B$12*IF(K8="Forecast",Assumptions!$B$28,1)</x:f>
        <x:v>55579.5</x:v>
      </x:c>
      <x:c r="L19" s="16" t="n">
        <x:f>L16*Assumptions!$B$12*IF(L8="Forecast",Assumptions!$B$28,1)</x:f>
        <x:v>57442.5</x:v>
      </x:c>
      <x:c r="M19" s="16" t="n">
        <x:f>M16*Assumptions!$B$12*IF(M8="Forecast",Assumptions!$B$28,1)</x:f>
        <x:v>59336.549999999996</x:v>
      </x:c>
      <x:c r="N19" s="16" t="n">
        <x:f>N16*Assumptions!$B$12*IF(N8="Forecast",Assumptions!$B$28,1)</x:f>
        <x:v>63712.116</x:v>
      </x:c>
      <x:c r="O19" s="16" t="n">
        <x:f>O16*Assumptions!$B$12*IF(O8="Forecast",Assumptions!$B$28,1)</x:f>
        <x:v>65714.22</x:v>
      </x:c>
      <x:c r="P19" s="16" t="n">
        <x:f>P16*Assumptions!$B$12*IF(P8="Forecast",Assumptions!$B$28,1)</x:f>
        <x:v>67716.324</x:v>
      </x:c>
      <x:c r="Q19" s="16" t="n">
        <x:f>Q16*Assumptions!$B$12*IF(Q8="Forecast",Assumptions!$B$28,1)</x:f>
        <x:v>69750.72</x:v>
      </x:c>
      <x:c r="R19" s="16" t="n">
        <x:f>R16*Assumptions!$B$12*IF(R8="Forecast",Assumptions!$B$28,1)</x:f>
        <x:v>71817.40800000001</x:v>
      </x:c>
      <x:c r="S19" s="16" t="n">
        <x:f>S16*Assumptions!$B$12*IF(S8="Forecast",Assumptions!$B$28,1)</x:f>
        <x:v>73916.388</x:v>
      </x:c>
      <x:c r="T19" s="16" t="n">
        <x:f>T16*Assumptions!$B$12*IF(T8="Forecast",Assumptions!$B$28,1)</x:f>
        <x:v>76015.368</x:v>
      </x:c>
      <x:c r="U19" s="16" t="n">
        <x:f>U16*Assumptions!$B$12*IF(U8="Forecast",Assumptions!$B$28,1)</x:f>
        <x:v>78114.348</x:v>
      </x:c>
      <x:c r="V19" s="16" t="n">
        <x:f>V16*Assumptions!$B$12*IF(V8="Forecast",Assumptions!$B$28,1)</x:f>
        <x:v>80245.62</x:v>
      </x:c>
      <x:c r="W19" s="16" t="n">
        <x:f>W16*Assumptions!$B$12*IF(W8="Forecast",Assumptions!$B$28,1)</x:f>
        <x:v>82409.184</x:v>
      </x:c>
      <x:c r="X19" s="16" t="n">
        <x:f>X16*Assumptions!$B$12*IF(X8="Forecast",Assumptions!$B$28,1)</x:f>
        <x:v>84605.04</x:v>
      </x:c>
      <x:c r="Y19" s="16" t="n">
        <x:f>Y16*Assumptions!$B$12*IF(Y8="Forecast",Assumptions!$B$28,1)</x:f>
        <x:v>86833.18800000001</x:v>
      </x:c>
    </x:row>
    <x:row r="20">
      <x:c r="A20" t="str">
        <x:v>Gross profit ($)</x:v>
      </x:c>
      <x:c r="B20" s="16" t="n">
        <x:f>B16-B19</x:f>
        <x:v>179358.6</x:v>
      </x:c>
      <x:c r="C20" s="16" t="n">
        <x:f>C16-C19</x:f>
        <x:v>187421.25</x:v>
      </x:c>
      <x:c r="D20" s="16" t="n">
        <x:f>D16-D19</x:f>
        <x:v>195483.9</x:v>
      </x:c>
      <x:c r="E20" s="16" t="n">
        <x:f>E16-E19</x:f>
        <x:v>203546.55</x:v>
      </x:c>
      <x:c r="F20" s="16" t="n">
        <x:f>F16-F19</x:f>
        <x:v>211750.65</x:v>
      </x:c>
      <x:c r="G20" s="16" t="n">
        <x:f>G16-G19</x:f>
        <x:v>219954.75</x:v>
      </x:c>
      <x:c r="H20" s="16" t="n">
        <x:f>H16-H19</x:f>
        <x:v>228158.85</x:v>
      </x:c>
      <x:c r="I20" s="16" t="n">
        <x:f>I16-I19</x:f>
        <x:v>236504.4</x:v>
      </x:c>
      <x:c r="J20" s="16" t="n">
        <x:f>J16-J19</x:f>
        <x:v>244849.95</x:v>
      </x:c>
      <x:c r="K20" s="16" t="n">
        <x:f>K16-K19</x:f>
        <x:v>253195.5</x:v>
      </x:c>
      <x:c r="L20" s="16" t="n">
        <x:f>L16-L19</x:f>
        <x:v>261682.5</x:v>
      </x:c>
      <x:c r="M20" s="16" t="n">
        <x:f>M16-M19</x:f>
        <x:v>270310.95</x:v>
      </x:c>
      <x:c r="N20" s="16" t="n">
        <x:f>N16-N19</x:f>
        <x:v>290244.08400000003</x:v>
      </x:c>
      <x:c r="O20" s="16" t="n">
        <x:f>O16-O19</x:f>
        <x:v>299364.78</x:v>
      </x:c>
      <x:c r="P20" s="16" t="n">
        <x:f>P16-P19</x:f>
        <x:v>308485.476</x:v>
      </x:c>
      <x:c r="Q20" s="16" t="n">
        <x:f>Q16-Q19</x:f>
        <x:v>317753.28</x:v>
      </x:c>
      <x:c r="R20" s="16" t="n">
        <x:f>R16-R19</x:f>
        <x:v>327168.19200000004</x:v>
      </x:c>
      <x:c r="S20" s="16" t="n">
        <x:f>S16-S19</x:f>
        <x:v>336730.21200000006</x:v>
      </x:c>
      <x:c r="T20" s="16" t="n">
        <x:f>T16-T19</x:f>
        <x:v>346292.232</x:v>
      </x:c>
      <x:c r="U20" s="16" t="n">
        <x:f>U16-U19</x:f>
        <x:v>355854.25200000004</x:v>
      </x:c>
      <x:c r="V20" s="16" t="n">
        <x:f>V16-V19</x:f>
        <x:v>365563.38</x:v>
      </x:c>
      <x:c r="W20" s="16" t="n">
        <x:f>W16-W19</x:f>
        <x:v>375419.616</x:v>
      </x:c>
      <x:c r="X20" s="16" t="n">
        <x:f>X16-X19</x:f>
        <x:v>385422.96</x:v>
      </x:c>
      <x:c r="Y20" s="16" t="n">
        <x:f>Y16-Y19</x:f>
        <x:v>395573.412</x:v>
      </x:c>
    </x:row>
    <x:row r="21">
      <x:c r="A21" t="str">
        <x:v>Gross margin</x:v>
      </x:c>
      <x:c r="B21" s="18" t="n">
        <x:f>IFERROR(B20/B16,0)</x:f>
        <x:v>0.8200000000000001</x:v>
      </x:c>
      <x:c r="C21" s="18" t="n">
        <x:f>IFERROR(C20/C16,0)</x:f>
        <x:v>0.82</x:v>
      </x:c>
      <x:c r="D21" s="18" t="n">
        <x:f>IFERROR(D20/D16,0)</x:f>
        <x:v>0.82</x:v>
      </x:c>
      <x:c r="E21" s="18" t="n">
        <x:f>IFERROR(E20/E16,0)</x:f>
        <x:v>0.82</x:v>
      </x:c>
      <x:c r="F21" s="18" t="n">
        <x:f>IFERROR(F20/F16,0)</x:f>
        <x:v>0.82</x:v>
      </x:c>
      <x:c r="G21" s="18" t="n">
        <x:f>IFERROR(G20/G16,0)</x:f>
        <x:v>0.82</x:v>
      </x:c>
      <x:c r="H21" s="18" t="n">
        <x:f>IFERROR(H20/H16,0)</x:f>
        <x:v>0.8200000000000001</x:v>
      </x:c>
      <x:c r="I21" s="18" t="n">
        <x:f>IFERROR(I20/I16,0)</x:f>
        <x:v>0.82</x:v>
      </x:c>
      <x:c r="J21" s="18" t="n">
        <x:f>IFERROR(J20/J16,0)</x:f>
        <x:v>0.8200000000000001</x:v>
      </x:c>
      <x:c r="K21" s="18" t="n">
        <x:f>IFERROR(K20/K16,0)</x:f>
        <x:v>0.82</x:v>
      </x:c>
      <x:c r="L21" s="18" t="n">
        <x:f>IFERROR(L20/L16,0)</x:f>
        <x:v>0.82</x:v>
      </x:c>
      <x:c r="M21" s="18" t="n">
        <x:f>IFERROR(M20/M16,0)</x:f>
        <x:v>0.8200000000000001</x:v>
      </x:c>
      <x:c r="N21" s="18" t="n">
        <x:f>IFERROR(N20/N16,0)</x:f>
        <x:v>0.8200000000000001</x:v>
      </x:c>
      <x:c r="O21" s="18" t="n">
        <x:f>IFERROR(O20/O16,0)</x:f>
        <x:v>0.8200000000000001</x:v>
      </x:c>
      <x:c r="P21" s="18" t="n">
        <x:f>IFERROR(P20/P16,0)</x:f>
        <x:v>0.8200000000000001</x:v>
      </x:c>
      <x:c r="Q21" s="18" t="n">
        <x:f>IFERROR(Q20/Q16,0)</x:f>
        <x:v>0.8200000000000001</x:v>
      </x:c>
      <x:c r="R21" s="18" t="n">
        <x:f>IFERROR(R20/R16,0)</x:f>
        <x:v>0.8200000000000001</x:v>
      </x:c>
      <x:c r="S21" s="18" t="n">
        <x:f>IFERROR(S20/S16,0)</x:f>
        <x:v>0.8200000000000001</x:v>
      </x:c>
      <x:c r="T21" s="18" t="n">
        <x:f>IFERROR(T20/T16,0)</x:f>
        <x:v>0.82</x:v>
      </x:c>
      <x:c r="U21" s="18" t="n">
        <x:f>IFERROR(U20/U16,0)</x:f>
        <x:v>0.8200000000000001</x:v>
      </x:c>
      <x:c r="V21" s="18" t="n">
        <x:f>IFERROR(V20/V16,0)</x:f>
        <x:v>0.8200000000000001</x:v>
      </x:c>
      <x:c r="W21" s="18" t="n">
        <x:f>IFERROR(W20/W16,0)</x:f>
        <x:v>0.82</x:v>
      </x:c>
      <x:c r="X21" s="18" t="n">
        <x:f>IFERROR(X20/X16,0)</x:f>
        <x:v>0.8200000000000001</x:v>
      </x:c>
      <x:c r="Y21" s="18" t="n">
        <x:f>IFERROR(Y20/Y16,0)</x:f>
        <x:v>0.82</x:v>
      </x:c>
    </x:row>
    <x:row r="22"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s="16"/>
      <x:c r="Y22" s="16"/>
    </x:row>
    <x:row r="23">
      <x:c r="A23" t="str">
        <x:v>Sales &amp; marketing ($)</x:v>
      </x:c>
      <x:c r="B23" s="16" t="n">
        <x:f>B16*Assumptions!$B$13*IF(B8="Forecast",Assumptions!$B$28,1)</x:f>
        <x:v>52495.2</x:v>
      </x:c>
      <x:c r="C23" s="16" t="n">
        <x:f>C16*Assumptions!$B$13*IF(C8="Forecast",Assumptions!$B$28,1)</x:f>
        <x:v>54855</x:v>
      </x:c>
      <x:c r="D23" s="16" t="n">
        <x:f>D16*Assumptions!$B$13*IF(D8="Forecast",Assumptions!$B$28,1)</x:f>
        <x:v>57214.799999999996</x:v>
      </x:c>
      <x:c r="E23" s="16" t="n">
        <x:f>E16*Assumptions!$B$13*IF(E8="Forecast",Assumptions!$B$28,1)</x:f>
        <x:v>59574.6</x:v>
      </x:c>
      <x:c r="F23" s="16" t="n">
        <x:f>F16*Assumptions!$B$13*IF(F8="Forecast",Assumptions!$B$28,1)</x:f>
        <x:v>61975.799999999996</x:v>
      </x:c>
      <x:c r="G23" s="16" t="n">
        <x:f>G16*Assumptions!$B$13*IF(G8="Forecast",Assumptions!$B$28,1)</x:f>
        <x:v>64377</x:v>
      </x:c>
      <x:c r="H23" s="16" t="n">
        <x:f>H16*Assumptions!$B$13*IF(H8="Forecast",Assumptions!$B$28,1)</x:f>
        <x:v>66778.2</x:v>
      </x:c>
      <x:c r="I23" s="16" t="n">
        <x:f>I16*Assumptions!$B$13*IF(I8="Forecast",Assumptions!$B$28,1)</x:f>
        <x:v>69220.8</x:v>
      </x:c>
      <x:c r="J23" s="16" t="n">
        <x:f>J16*Assumptions!$B$13*IF(J8="Forecast",Assumptions!$B$28,1)</x:f>
        <x:v>71663.4</x:v>
      </x:c>
      <x:c r="K23" s="16" t="n">
        <x:f>K16*Assumptions!$B$13*IF(K8="Forecast",Assumptions!$B$28,1)</x:f>
        <x:v>74106</x:v>
      </x:c>
      <x:c r="L23" s="16" t="n">
        <x:f>L16*Assumptions!$B$13*IF(L8="Forecast",Assumptions!$B$28,1)</x:f>
        <x:v>76590</x:v>
      </x:c>
      <x:c r="M23" s="16" t="n">
        <x:f>M16*Assumptions!$B$13*IF(M8="Forecast",Assumptions!$B$28,1)</x:f>
        <x:v>79115.4</x:v>
      </x:c>
      <x:c r="N23" s="16" t="n">
        <x:f>N16*Assumptions!$B$13*IF(N8="Forecast",Assumptions!$B$28,1)</x:f>
        <x:v>84949.488</x:v>
      </x:c>
      <x:c r="O23" s="16" t="n">
        <x:f>O16*Assumptions!$B$13*IF(O8="Forecast",Assumptions!$B$28,1)</x:f>
        <x:v>87618.95999999999</x:v>
      </x:c>
      <x:c r="P23" s="16" t="n">
        <x:f>P16*Assumptions!$B$13*IF(P8="Forecast",Assumptions!$B$28,1)</x:f>
        <x:v>90288.432</x:v>
      </x:c>
      <x:c r="Q23" s="16" t="n">
        <x:f>Q16*Assumptions!$B$13*IF(Q8="Forecast",Assumptions!$B$28,1)</x:f>
        <x:v>93000.95999999999</x:v>
      </x:c>
      <x:c r="R23" s="16" t="n">
        <x:f>R16*Assumptions!$B$13*IF(R8="Forecast",Assumptions!$B$28,1)</x:f>
        <x:v>95756.54400000001</x:v>
      </x:c>
      <x:c r="S23" s="16" t="n">
        <x:f>S16*Assumptions!$B$13*IF(S8="Forecast",Assumptions!$B$28,1)</x:f>
        <x:v>98555.18400000001</x:v>
      </x:c>
      <x:c r="T23" s="16" t="n">
        <x:f>T16*Assumptions!$B$13*IF(T8="Forecast",Assumptions!$B$28,1)</x:f>
        <x:v>101353.82400000001</x:v>
      </x:c>
      <x:c r="U23" s="16" t="n">
        <x:f>U16*Assumptions!$B$13*IF(U8="Forecast",Assumptions!$B$28,1)</x:f>
        <x:v>104152.464</x:v>
      </x:c>
      <x:c r="V23" s="16" t="n">
        <x:f>V16*Assumptions!$B$13*IF(V8="Forecast",Assumptions!$B$28,1)</x:f>
        <x:v>106994.15999999999</x:v>
      </x:c>
      <x:c r="W23" s="16" t="n">
        <x:f>W16*Assumptions!$B$13*IF(W8="Forecast",Assumptions!$B$28,1)</x:f>
        <x:v>109878.912</x:v>
      </x:c>
      <x:c r="X23" s="16" t="n">
        <x:f>X16*Assumptions!$B$13*IF(X8="Forecast",Assumptions!$B$28,1)</x:f>
        <x:v>112806.72</x:v>
      </x:c>
      <x:c r="Y23" s="16" t="n">
        <x:f>Y16*Assumptions!$B$13*IF(Y8="Forecast",Assumptions!$B$28,1)</x:f>
        <x:v>115777.584</x:v>
      </x:c>
    </x:row>
    <x:row r="24">
      <x:c r="A24" t="str">
        <x:v>G&amp;A ($)</x:v>
      </x:c>
      <x:c r="B24" s="16" t="n">
        <x:f>Assumptions!$B$14*(1+Assumptions!$B$19)^INT(0/12)*IF(B8="Forecast",Assumptions!$B$28,1)</x:f>
        <x:v>79000</x:v>
      </x:c>
      <x:c r="C24" s="16" t="n">
        <x:f>Assumptions!$B$14*(1+Assumptions!$B$19)^INT(1/12)*IF(C8="Forecast",Assumptions!$B$28,1)</x:f>
        <x:v>79000</x:v>
      </x:c>
      <x:c r="D24" s="16" t="n">
        <x:f>Assumptions!$B$14*(1+Assumptions!$B$19)^INT(2/12)*IF(D8="Forecast",Assumptions!$B$28,1)</x:f>
        <x:v>79000</x:v>
      </x:c>
      <x:c r="E24" s="16" t="n">
        <x:f>Assumptions!$B$14*(1+Assumptions!$B$19)^INT(3/12)*IF(E8="Forecast",Assumptions!$B$28,1)</x:f>
        <x:v>79000</x:v>
      </x:c>
      <x:c r="F24" s="16" t="n">
        <x:f>Assumptions!$B$14*(1+Assumptions!$B$19)^INT(4/12)*IF(F8="Forecast",Assumptions!$B$28,1)</x:f>
        <x:v>79000</x:v>
      </x:c>
      <x:c r="G24" s="16" t="n">
        <x:f>Assumptions!$B$14*(1+Assumptions!$B$19)^INT(5/12)*IF(G8="Forecast",Assumptions!$B$28,1)</x:f>
        <x:v>79000</x:v>
      </x:c>
      <x:c r="H24" s="16" t="n">
        <x:f>Assumptions!$B$14*(1+Assumptions!$B$19)^INT(6/12)*IF(H8="Forecast",Assumptions!$B$28,1)</x:f>
        <x:v>79000</x:v>
      </x:c>
      <x:c r="I24" s="16" t="n">
        <x:f>Assumptions!$B$14*(1+Assumptions!$B$19)^INT(7/12)*IF(I8="Forecast",Assumptions!$B$28,1)</x:f>
        <x:v>79000</x:v>
      </x:c>
      <x:c r="J24" s="16" t="n">
        <x:f>Assumptions!$B$14*(1+Assumptions!$B$19)^INT(8/12)*IF(J8="Forecast",Assumptions!$B$28,1)</x:f>
        <x:v>79000</x:v>
      </x:c>
      <x:c r="K24" s="16" t="n">
        <x:f>Assumptions!$B$14*(1+Assumptions!$B$19)^INT(9/12)*IF(K8="Forecast",Assumptions!$B$28,1)</x:f>
        <x:v>79000</x:v>
      </x:c>
      <x:c r="L24" s="16" t="n">
        <x:f>Assumptions!$B$14*(1+Assumptions!$B$19)^INT(10/12)*IF(L8="Forecast",Assumptions!$B$28,1)</x:f>
        <x:v>79000</x:v>
      </x:c>
      <x:c r="M24" s="16" t="n">
        <x:f>Assumptions!$B$14*(1+Assumptions!$B$19)^INT(11/12)*IF(M8="Forecast",Assumptions!$B$28,1)</x:f>
        <x:v>79000</x:v>
      </x:c>
      <x:c r="N24" s="16" t="n">
        <x:f>Assumptions!$B$14*(1+Assumptions!$B$19)^INT(12/12)*IF(N8="Forecast",Assumptions!$B$28,1)</x:f>
        <x:v>82160</x:v>
      </x:c>
      <x:c r="O24" s="16" t="n">
        <x:f>Assumptions!$B$14*(1+Assumptions!$B$19)^INT(13/12)*IF(O8="Forecast",Assumptions!$B$28,1)</x:f>
        <x:v>82160</x:v>
      </x:c>
      <x:c r="P24" s="16" t="n">
        <x:f>Assumptions!$B$14*(1+Assumptions!$B$19)^INT(14/12)*IF(P8="Forecast",Assumptions!$B$28,1)</x:f>
        <x:v>82160</x:v>
      </x:c>
      <x:c r="Q24" s="16" t="n">
        <x:f>Assumptions!$B$14*(1+Assumptions!$B$19)^INT(15/12)*IF(Q8="Forecast",Assumptions!$B$28,1)</x:f>
        <x:v>82160</x:v>
      </x:c>
      <x:c r="R24" s="16" t="n">
        <x:f>Assumptions!$B$14*(1+Assumptions!$B$19)^INT(16/12)*IF(R8="Forecast",Assumptions!$B$28,1)</x:f>
        <x:v>82160</x:v>
      </x:c>
      <x:c r="S24" s="16" t="n">
        <x:f>Assumptions!$B$14*(1+Assumptions!$B$19)^INT(17/12)*IF(S8="Forecast",Assumptions!$B$28,1)</x:f>
        <x:v>82160</x:v>
      </x:c>
      <x:c r="T24" s="16" t="n">
        <x:f>Assumptions!$B$14*(1+Assumptions!$B$19)^INT(18/12)*IF(T8="Forecast",Assumptions!$B$28,1)</x:f>
        <x:v>82160</x:v>
      </x:c>
      <x:c r="U24" s="16" t="n">
        <x:f>Assumptions!$B$14*(1+Assumptions!$B$19)^INT(19/12)*IF(U8="Forecast",Assumptions!$B$28,1)</x:f>
        <x:v>82160</x:v>
      </x:c>
      <x:c r="V24" s="16" t="n">
        <x:f>Assumptions!$B$14*(1+Assumptions!$B$19)^INT(20/12)*IF(V8="Forecast",Assumptions!$B$28,1)</x:f>
        <x:v>82160</x:v>
      </x:c>
      <x:c r="W24" s="16" t="n">
        <x:f>Assumptions!$B$14*(1+Assumptions!$B$19)^INT(21/12)*IF(W8="Forecast",Assumptions!$B$28,1)</x:f>
        <x:v>82160</x:v>
      </x:c>
      <x:c r="X24" s="16" t="n">
        <x:f>Assumptions!$B$14*(1+Assumptions!$B$19)^INT(22/12)*IF(X8="Forecast",Assumptions!$B$28,1)</x:f>
        <x:v>82160</x:v>
      </x:c>
      <x:c r="Y24" s="16" t="n">
        <x:f>Assumptions!$B$14*(1+Assumptions!$B$19)^INT(23/12)*IF(Y8="Forecast",Assumptions!$B$28,1)</x:f>
        <x:v>82160</x:v>
      </x:c>
    </x:row>
    <x:row r="25">
      <x:c r="A25" t="str">
        <x:v>R&amp;D ($)</x:v>
      </x:c>
      <x:c r="B25" s="16" t="n">
        <x:f>Assumptions!$B$15*(1+Assumptions!$B$19)^INT(0/12)*IF(B8="Forecast",Assumptions!$B$28,1)</x:f>
        <x:v>93000</x:v>
      </x:c>
      <x:c r="C25" s="16" t="n">
        <x:f>Assumptions!$B$15*(1+Assumptions!$B$19)^INT(1/12)*IF(C8="Forecast",Assumptions!$B$28,1)</x:f>
        <x:v>93000</x:v>
      </x:c>
      <x:c r="D25" s="16" t="n">
        <x:f>Assumptions!$B$15*(1+Assumptions!$B$19)^INT(2/12)*IF(D8="Forecast",Assumptions!$B$28,1)</x:f>
        <x:v>93000</x:v>
      </x:c>
      <x:c r="E25" s="16" t="n">
        <x:f>Assumptions!$B$15*(1+Assumptions!$B$19)^INT(3/12)*IF(E8="Forecast",Assumptions!$B$28,1)</x:f>
        <x:v>93000</x:v>
      </x:c>
      <x:c r="F25" s="16" t="n">
        <x:f>Assumptions!$B$15*(1+Assumptions!$B$19)^INT(4/12)*IF(F8="Forecast",Assumptions!$B$28,1)</x:f>
        <x:v>93000</x:v>
      </x:c>
      <x:c r="G25" s="16" t="n">
        <x:f>Assumptions!$B$15*(1+Assumptions!$B$19)^INT(5/12)*IF(G8="Forecast",Assumptions!$B$28,1)</x:f>
        <x:v>93000</x:v>
      </x:c>
      <x:c r="H25" s="16" t="n">
        <x:f>Assumptions!$B$15*(1+Assumptions!$B$19)^INT(6/12)*IF(H8="Forecast",Assumptions!$B$28,1)</x:f>
        <x:v>93000</x:v>
      </x:c>
      <x:c r="I25" s="16" t="n">
        <x:f>Assumptions!$B$15*(1+Assumptions!$B$19)^INT(7/12)*IF(I8="Forecast",Assumptions!$B$28,1)</x:f>
        <x:v>93000</x:v>
      </x:c>
      <x:c r="J25" s="16" t="n">
        <x:f>Assumptions!$B$15*(1+Assumptions!$B$19)^INT(8/12)*IF(J8="Forecast",Assumptions!$B$28,1)</x:f>
        <x:v>93000</x:v>
      </x:c>
      <x:c r="K25" s="16" t="n">
        <x:f>Assumptions!$B$15*(1+Assumptions!$B$19)^INT(9/12)*IF(K8="Forecast",Assumptions!$B$28,1)</x:f>
        <x:v>93000</x:v>
      </x:c>
      <x:c r="L25" s="16" t="n">
        <x:f>Assumptions!$B$15*(1+Assumptions!$B$19)^INT(10/12)*IF(L8="Forecast",Assumptions!$B$28,1)</x:f>
        <x:v>93000</x:v>
      </x:c>
      <x:c r="M25" s="16" t="n">
        <x:f>Assumptions!$B$15*(1+Assumptions!$B$19)^INT(11/12)*IF(M8="Forecast",Assumptions!$B$28,1)</x:f>
        <x:v>93000</x:v>
      </x:c>
      <x:c r="N25" s="16" t="n">
        <x:f>Assumptions!$B$15*(1+Assumptions!$B$19)^INT(12/12)*IF(N8="Forecast",Assumptions!$B$28,1)</x:f>
        <x:v>96720</x:v>
      </x:c>
      <x:c r="O25" s="16" t="n">
        <x:f>Assumptions!$B$15*(1+Assumptions!$B$19)^INT(13/12)*IF(O8="Forecast",Assumptions!$B$28,1)</x:f>
        <x:v>96720</x:v>
      </x:c>
      <x:c r="P25" s="16" t="n">
        <x:f>Assumptions!$B$15*(1+Assumptions!$B$19)^INT(14/12)*IF(P8="Forecast",Assumptions!$B$28,1)</x:f>
        <x:v>96720</x:v>
      </x:c>
      <x:c r="Q25" s="16" t="n">
        <x:f>Assumptions!$B$15*(1+Assumptions!$B$19)^INT(15/12)*IF(Q8="Forecast",Assumptions!$B$28,1)</x:f>
        <x:v>96720</x:v>
      </x:c>
      <x:c r="R25" s="16" t="n">
        <x:f>Assumptions!$B$15*(1+Assumptions!$B$19)^INT(16/12)*IF(R8="Forecast",Assumptions!$B$28,1)</x:f>
        <x:v>96720</x:v>
      </x:c>
      <x:c r="S25" s="16" t="n">
        <x:f>Assumptions!$B$15*(1+Assumptions!$B$19)^INT(17/12)*IF(S8="Forecast",Assumptions!$B$28,1)</x:f>
        <x:v>96720</x:v>
      </x:c>
      <x:c r="T25" s="16" t="n">
        <x:f>Assumptions!$B$15*(1+Assumptions!$B$19)^INT(18/12)*IF(T8="Forecast",Assumptions!$B$28,1)</x:f>
        <x:v>96720</x:v>
      </x:c>
      <x:c r="U25" s="16" t="n">
        <x:f>Assumptions!$B$15*(1+Assumptions!$B$19)^INT(19/12)*IF(U8="Forecast",Assumptions!$B$28,1)</x:f>
        <x:v>96720</x:v>
      </x:c>
      <x:c r="V25" s="16" t="n">
        <x:f>Assumptions!$B$15*(1+Assumptions!$B$19)^INT(20/12)*IF(V8="Forecast",Assumptions!$B$28,1)</x:f>
        <x:v>96720</x:v>
      </x:c>
      <x:c r="W25" s="16" t="n">
        <x:f>Assumptions!$B$15*(1+Assumptions!$B$19)^INT(21/12)*IF(W8="Forecast",Assumptions!$B$28,1)</x:f>
        <x:v>96720</x:v>
      </x:c>
      <x:c r="X25" s="16" t="n">
        <x:f>Assumptions!$B$15*(1+Assumptions!$B$19)^INT(22/12)*IF(X8="Forecast",Assumptions!$B$28,1)</x:f>
        <x:v>96720</x:v>
      </x:c>
      <x:c r="Y25" s="16" t="n">
        <x:f>Assumptions!$B$15*(1+Assumptions!$B$19)^INT(23/12)*IF(Y8="Forecast",Assumptions!$B$28,1)</x:f>
        <x:v>96720</x:v>
      </x:c>
    </x:row>
    <x:row r="26">
      <x:c r="A26" t="str">
        <x:v>Headcount</x:v>
      </x:c>
      <x:c r="B26" s="16" t="n">
        <x:f>Assumptions!$B$16+INT(0/3)*Assumptions!$B$17</x:f>
        <x:v>37</x:v>
      </x:c>
      <x:c r="C26" s="16" t="n">
        <x:f>Assumptions!$B$16+INT(1/3)*Assumptions!$B$17</x:f>
        <x:v>37</x:v>
      </x:c>
      <x:c r="D26" s="16" t="n">
        <x:f>Assumptions!$B$16+INT(2/3)*Assumptions!$B$17</x:f>
        <x:v>37</x:v>
      </x:c>
      <x:c r="E26" s="16" t="n">
        <x:f>Assumptions!$B$16+INT(3/3)*Assumptions!$B$17</x:f>
        <x:v>39</x:v>
      </x:c>
      <x:c r="F26" s="16" t="n">
        <x:f>Assumptions!$B$16+INT(4/3)*Assumptions!$B$17</x:f>
        <x:v>39</x:v>
      </x:c>
      <x:c r="G26" s="16" t="n">
        <x:f>Assumptions!$B$16+INT(5/3)*Assumptions!$B$17</x:f>
        <x:v>39</x:v>
      </x:c>
      <x:c r="H26" s="16" t="n">
        <x:f>Assumptions!$B$16+INT(6/3)*Assumptions!$B$17</x:f>
        <x:v>41</x:v>
      </x:c>
      <x:c r="I26" s="16" t="n">
        <x:f>Assumptions!$B$16+INT(7/3)*Assumptions!$B$17</x:f>
        <x:v>41</x:v>
      </x:c>
      <x:c r="J26" s="16" t="n">
        <x:f>Assumptions!$B$16+INT(8/3)*Assumptions!$B$17</x:f>
        <x:v>41</x:v>
      </x:c>
      <x:c r="K26" s="16" t="n">
        <x:f>Assumptions!$B$16+INT(9/3)*Assumptions!$B$17</x:f>
        <x:v>43</x:v>
      </x:c>
      <x:c r="L26" s="16" t="n">
        <x:f>Assumptions!$B$16+INT(10/3)*Assumptions!$B$17</x:f>
        <x:v>43</x:v>
      </x:c>
      <x:c r="M26" s="16" t="n">
        <x:f>Assumptions!$B$16+INT(11/3)*Assumptions!$B$17</x:f>
        <x:v>43</x:v>
      </x:c>
      <x:c r="N26" s="16" t="n">
        <x:f>Assumptions!$B$16+INT(12/3)*Assumptions!$B$17</x:f>
        <x:v>45</x:v>
      </x:c>
      <x:c r="O26" s="16" t="n">
        <x:f>Assumptions!$B$16+INT(13/3)*Assumptions!$B$17</x:f>
        <x:v>45</x:v>
      </x:c>
      <x:c r="P26" s="16" t="n">
        <x:f>Assumptions!$B$16+INT(14/3)*Assumptions!$B$17</x:f>
        <x:v>45</x:v>
      </x:c>
      <x:c r="Q26" s="16" t="n">
        <x:f>Assumptions!$B$16+INT(15/3)*Assumptions!$B$17</x:f>
        <x:v>47</x:v>
      </x:c>
      <x:c r="R26" s="16" t="n">
        <x:f>Assumptions!$B$16+INT(16/3)*Assumptions!$B$17</x:f>
        <x:v>47</x:v>
      </x:c>
      <x:c r="S26" s="16" t="n">
        <x:f>Assumptions!$B$16+INT(17/3)*Assumptions!$B$17</x:f>
        <x:v>47</x:v>
      </x:c>
      <x:c r="T26" s="16" t="n">
        <x:f>Assumptions!$B$16+INT(18/3)*Assumptions!$B$17</x:f>
        <x:v>49</x:v>
      </x:c>
      <x:c r="U26" s="16" t="n">
        <x:f>Assumptions!$B$16+INT(19/3)*Assumptions!$B$17</x:f>
        <x:v>49</x:v>
      </x:c>
      <x:c r="V26" s="16" t="n">
        <x:f>Assumptions!$B$16+INT(20/3)*Assumptions!$B$17</x:f>
        <x:v>49</x:v>
      </x:c>
      <x:c r="W26" s="16" t="n">
        <x:f>Assumptions!$B$16+INT(21/3)*Assumptions!$B$17</x:f>
        <x:v>51</x:v>
      </x:c>
      <x:c r="X26" s="16" t="n">
        <x:f>Assumptions!$B$16+INT(22/3)*Assumptions!$B$17</x:f>
        <x:v>51</x:v>
      </x:c>
      <x:c r="Y26" s="16" t="n">
        <x:f>Assumptions!$B$16+INT(23/3)*Assumptions!$B$17</x:f>
        <x:v>51</x:v>
      </x:c>
    </x:row>
    <x:row r="27">
      <x:c r="A27" t="str">
        <x:v>Personnel expense ($)</x:v>
      </x:c>
      <x:c r="B27" s="16" t="n">
        <x:f>B26*Assumptions!$B$18*(1+Assumptions!$B$19)^INT(0/12)</x:f>
        <x:v>344100</x:v>
      </x:c>
      <x:c r="C27" s="16" t="n">
        <x:f>C26*Assumptions!$B$18*(1+Assumptions!$B$19)^INT(1/12)</x:f>
        <x:v>344100</x:v>
      </x:c>
      <x:c r="D27" s="16" t="n">
        <x:f>D26*Assumptions!$B$18*(1+Assumptions!$B$19)^INT(2/12)</x:f>
        <x:v>344100</x:v>
      </x:c>
      <x:c r="E27" s="16" t="n">
        <x:f>E26*Assumptions!$B$18*(1+Assumptions!$B$19)^INT(3/12)</x:f>
        <x:v>362700</x:v>
      </x:c>
      <x:c r="F27" s="16" t="n">
        <x:f>F26*Assumptions!$B$18*(1+Assumptions!$B$19)^INT(4/12)</x:f>
        <x:v>362700</x:v>
      </x:c>
      <x:c r="G27" s="16" t="n">
        <x:f>G26*Assumptions!$B$18*(1+Assumptions!$B$19)^INT(5/12)</x:f>
        <x:v>362700</x:v>
      </x:c>
      <x:c r="H27" s="16" t="n">
        <x:f>H26*Assumptions!$B$18*(1+Assumptions!$B$19)^INT(6/12)</x:f>
        <x:v>381300</x:v>
      </x:c>
      <x:c r="I27" s="16" t="n">
        <x:f>I26*Assumptions!$B$18*(1+Assumptions!$B$19)^INT(7/12)</x:f>
        <x:v>381300</x:v>
      </x:c>
      <x:c r="J27" s="16" t="n">
        <x:f>J26*Assumptions!$B$18*(1+Assumptions!$B$19)^INT(8/12)</x:f>
        <x:v>381300</x:v>
      </x:c>
      <x:c r="K27" s="16" t="n">
        <x:f>K26*Assumptions!$B$18*(1+Assumptions!$B$19)^INT(9/12)</x:f>
        <x:v>399900</x:v>
      </x:c>
      <x:c r="L27" s="16" t="n">
        <x:f>L26*Assumptions!$B$18*(1+Assumptions!$B$19)^INT(10/12)</x:f>
        <x:v>399900</x:v>
      </x:c>
      <x:c r="M27" s="16" t="n">
        <x:f>M26*Assumptions!$B$18*(1+Assumptions!$B$19)^INT(11/12)</x:f>
        <x:v>399900</x:v>
      </x:c>
      <x:c r="N27" s="16" t="n">
        <x:f>N26*Assumptions!$B$18*(1+Assumptions!$B$19)^INT(12/12)</x:f>
        <x:v>435240</x:v>
      </x:c>
      <x:c r="O27" s="16" t="n">
        <x:f>O26*Assumptions!$B$18*(1+Assumptions!$B$19)^INT(13/12)</x:f>
        <x:v>435240</x:v>
      </x:c>
      <x:c r="P27" s="16" t="n">
        <x:f>P26*Assumptions!$B$18*(1+Assumptions!$B$19)^INT(14/12)</x:f>
        <x:v>435240</x:v>
      </x:c>
      <x:c r="Q27" s="16" t="n">
        <x:f>Q26*Assumptions!$B$18*(1+Assumptions!$B$19)^INT(15/12)</x:f>
        <x:v>454584</x:v>
      </x:c>
      <x:c r="R27" s="16" t="n">
        <x:f>R26*Assumptions!$B$18*(1+Assumptions!$B$19)^INT(16/12)</x:f>
        <x:v>454584</x:v>
      </x:c>
      <x:c r="S27" s="16" t="n">
        <x:f>S26*Assumptions!$B$18*(1+Assumptions!$B$19)^INT(17/12)</x:f>
        <x:v>454584</x:v>
      </x:c>
      <x:c r="T27" s="16" t="n">
        <x:f>T26*Assumptions!$B$18*(1+Assumptions!$B$19)^INT(18/12)</x:f>
        <x:v>473928</x:v>
      </x:c>
      <x:c r="U27" s="16" t="n">
        <x:f>U26*Assumptions!$B$18*(1+Assumptions!$B$19)^INT(19/12)</x:f>
        <x:v>473928</x:v>
      </x:c>
      <x:c r="V27" s="16" t="n">
        <x:f>V26*Assumptions!$B$18*(1+Assumptions!$B$19)^INT(20/12)</x:f>
        <x:v>473928</x:v>
      </x:c>
      <x:c r="W27" s="16" t="n">
        <x:f>W26*Assumptions!$B$18*(1+Assumptions!$B$19)^INT(21/12)</x:f>
        <x:v>493272</x:v>
      </x:c>
      <x:c r="X27" s="16" t="n">
        <x:f>X26*Assumptions!$B$18*(1+Assumptions!$B$19)^INT(22/12)</x:f>
        <x:v>493272</x:v>
      </x:c>
      <x:c r="Y27" s="16" t="n">
        <x:f>Y26*Assumptions!$B$18*(1+Assumptions!$B$19)^INT(23/12)</x:f>
        <x:v>493272</x:v>
      </x:c>
    </x:row>
    <x:row r="28">
      <x:c r="A28" t="str">
        <x:v>Total operating expenses ($)</x:v>
      </x:c>
      <x:c r="B28" s="16" t="n">
        <x:f>SUM(B23:B25)+B27</x:f>
        <x:v>568595.2</x:v>
      </x:c>
      <x:c r="C28" s="16" t="n">
        <x:f>SUM(C23:C25)+C27</x:f>
        <x:v>570955</x:v>
      </x:c>
      <x:c r="D28" s="16" t="n">
        <x:f>SUM(D23:D25)+D27</x:f>
        <x:v>573314.8</x:v>
      </x:c>
      <x:c r="E28" s="16" t="n">
        <x:f>SUM(E23:E25)+E27</x:f>
        <x:v>594274.6</x:v>
      </x:c>
      <x:c r="F28" s="16" t="n">
        <x:f>SUM(F23:F25)+F27</x:f>
        <x:v>596675.8</x:v>
      </x:c>
      <x:c r="G28" s="16" t="n">
        <x:f>SUM(G23:G25)+G27</x:f>
        <x:v>599077</x:v>
      </x:c>
      <x:c r="H28" s="16" t="n">
        <x:f>SUM(H23:H25)+H27</x:f>
        <x:v>620078.2</x:v>
      </x:c>
      <x:c r="I28" s="16" t="n">
        <x:f>SUM(I23:I25)+I27</x:f>
        <x:v>622520.8</x:v>
      </x:c>
      <x:c r="J28" s="16" t="n">
        <x:f>SUM(J23:J25)+J27</x:f>
        <x:v>624963.4</x:v>
      </x:c>
      <x:c r="K28" s="16" t="n">
        <x:f>SUM(K23:K25)+K27</x:f>
        <x:v>646006</x:v>
      </x:c>
      <x:c r="L28" s="16" t="n">
        <x:f>SUM(L23:L25)+L27</x:f>
        <x:v>648490</x:v>
      </x:c>
      <x:c r="M28" s="16" t="n">
        <x:f>SUM(M23:M25)+M27</x:f>
        <x:v>651015.4</x:v>
      </x:c>
      <x:c r="N28" s="16" t="n">
        <x:f>SUM(N23:N25)+N27</x:f>
        <x:v>699069.488</x:v>
      </x:c>
      <x:c r="O28" s="16" t="n">
        <x:f>SUM(O23:O25)+O27</x:f>
        <x:v>701738.96</x:v>
      </x:c>
      <x:c r="P28" s="16" t="n">
        <x:f>SUM(P23:P25)+P27</x:f>
        <x:v>704408.432</x:v>
      </x:c>
      <x:c r="Q28" s="16" t="n">
        <x:f>SUM(Q23:Q25)+Q27</x:f>
        <x:v>726464.96</x:v>
      </x:c>
      <x:c r="R28" s="16" t="n">
        <x:f>SUM(R23:R25)+R27</x:f>
        <x:v>729220.544</x:v>
      </x:c>
      <x:c r="S28" s="16" t="n">
        <x:f>SUM(S23:S25)+S27</x:f>
        <x:v>732019.184</x:v>
      </x:c>
      <x:c r="T28" s="16" t="n">
        <x:f>SUM(T23:T25)+T27</x:f>
        <x:v>754161.824</x:v>
      </x:c>
      <x:c r="U28" s="16" t="n">
        <x:f>SUM(U23:U25)+U27</x:f>
        <x:v>756960.464</x:v>
      </x:c>
      <x:c r="V28" s="16" t="n">
        <x:f>SUM(V23:V25)+V27</x:f>
        <x:v>759802.1599999999</x:v>
      </x:c>
      <x:c r="W28" s="16" t="n">
        <x:f>SUM(W23:W25)+W27</x:f>
        <x:v>782030.912</x:v>
      </x:c>
      <x:c r="X28" s="16" t="n">
        <x:f>SUM(X23:X25)+X27</x:f>
        <x:v>784958.72</x:v>
      </x:c>
      <x:c r="Y28" s="16" t="n">
        <x:f>SUM(Y23:Y25)+Y27</x:f>
        <x:v>787929.584</x:v>
      </x:c>
    </x:row>
    <x:row r="29">
      <x:c r="A29" t="str">
        <x:v>EBITDA ($)</x:v>
      </x:c>
      <x:c r="B29" s="16" t="n">
        <x:f>B20-B28</x:f>
        <x:v>-389236.6</x:v>
      </x:c>
      <x:c r="C29" s="16" t="n">
        <x:f>C20-C28</x:f>
        <x:v>-383533.75</x:v>
      </x:c>
      <x:c r="D29" s="16" t="n">
        <x:f>D20-D28</x:f>
        <x:v>-377830.9</x:v>
      </x:c>
      <x:c r="E29" s="16" t="n">
        <x:f>E20-E28</x:f>
        <x:v>-390728.05</x:v>
      </x:c>
      <x:c r="F29" s="16" t="n">
        <x:f>F20-F28</x:f>
        <x:v>-384925.15</x:v>
      </x:c>
      <x:c r="G29" s="16" t="n">
        <x:f>G20-G28</x:f>
        <x:v>-379122.25</x:v>
      </x:c>
      <x:c r="H29" s="16" t="n">
        <x:f>H20-H28</x:f>
        <x:v>-391919.35</x:v>
      </x:c>
      <x:c r="I29" s="16" t="n">
        <x:f>I20-I28</x:f>
        <x:v>-386016.4</x:v>
      </x:c>
      <x:c r="J29" s="16" t="n">
        <x:f>J20-J28</x:f>
        <x:v>-380113.45</x:v>
      </x:c>
      <x:c r="K29" s="16" t="n">
        <x:f>K20-K28</x:f>
        <x:v>-392810.5</x:v>
      </x:c>
      <x:c r="L29" s="16" t="n">
        <x:f>L20-L28</x:f>
        <x:v>-386807.5</x:v>
      </x:c>
      <x:c r="M29" s="16" t="n">
        <x:f>M20-M28</x:f>
        <x:v>-380704.45</x:v>
      </x:c>
      <x:c r="N29" s="16" t="n">
        <x:f>N20-N28</x:f>
        <x:v>-408825.404</x:v>
      </x:c>
      <x:c r="O29" s="16" t="n">
        <x:f>O20-O28</x:f>
        <x:v>-402374.17999999993</x:v>
      </x:c>
      <x:c r="P29" s="16" t="n">
        <x:f>P20-P28</x:f>
        <x:v>-395922.956</x:v>
      </x:c>
      <x:c r="Q29" s="16" t="n">
        <x:f>Q20-Q28</x:f>
        <x:v>-408711.67999999993</x:v>
      </x:c>
      <x:c r="R29" s="16" t="n">
        <x:f>R20-R28</x:f>
        <x:v>-402052.35199999996</x:v>
      </x:c>
      <x:c r="S29" s="16" t="n">
        <x:f>S20-S28</x:f>
        <x:v>-395288.97199999995</x:v>
      </x:c>
      <x:c r="T29" s="16" t="n">
        <x:f>T20-T28</x:f>
        <x:v>-407869.592</x:v>
      </x:c>
      <x:c r="U29" s="16" t="n">
        <x:f>U20-U28</x:f>
        <x:v>-401106.212</x:v>
      </x:c>
      <x:c r="V29" s="16" t="n">
        <x:f>V20-V28</x:f>
        <x:v>-394238.7799999999</x:v>
      </x:c>
      <x:c r="W29" s="16" t="n">
        <x:f>W20-W28</x:f>
        <x:v>-406611.29600000003</x:v>
      </x:c>
      <x:c r="X29" s="16" t="n">
        <x:f>X20-X28</x:f>
        <x:v>-399535.75999999995</x:v>
      </x:c>
      <x:c r="Y29" s="16" t="n">
        <x:f>Y20-Y28</x:f>
        <x:v>-392356.172</x:v>
      </x:c>
    </x:row>
    <x:row r="30">
      <x:c r="A30" t="str">
        <x:v>EBITDA margin</x:v>
      </x:c>
      <x:c r="B30" s="18" t="n">
        <x:f>IFERROR(B29/B16,0)</x:f>
        <x:v>-1.7795300141727242</x:v>
      </x:c>
      <x:c r="C30" s="18" t="n">
        <x:f>IFERROR(C29/C16,0)</x:f>
        <x:v>-1.6780257041290676</x:v>
      </x:c>
      <x:c r="D30" s="18" t="n">
        <x:f>IFERROR(D29/D16,0)</x:f>
        <x:v>-1.5848943979529773</x:v>
      </x:c>
      <x:c r="E30" s="18" t="n">
        <x:f>IFERROR(E29/E16,0)</x:f>
        <x:v>-1.5740723731254596</x:v>
      </x:c>
      <x:c r="F30" s="18" t="n">
        <x:f>IFERROR(F29/F16,0)</x:f>
        <x:v>-1.4906146592702314</x:v>
      </x:c>
      <x:c r="G30" s="18" t="n">
        <x:f>IFERROR(G29/G16,0)</x:f>
        <x:v>-1.4133827298569366</x:v>
      </x:c>
      <x:c r="H30" s="18" t="n">
        <x:f>IFERROR(H29/H16,0)</x:f>
        <x:v>-1.4085531505790811</x:v>
      </x:c>
      <x:c r="I30" s="18" t="n">
        <x:f>IFERROR(I29/I16,0)</x:f>
        <x:v>-1.3383829138062548</x:v>
      </x:c>
      <x:c r="J30" s="18" t="n">
        <x:f>IFERROR(J29/J16,0)</x:f>
        <x:v>-1.2729960900543373</x:v>
      </x:c>
      <x:c r="K30" s="18" t="n">
        <x:f>IFERROR(K29/K16,0)</x:f>
        <x:v>-1.2721577200226701</x:v>
      </x:c>
      <x:c r="L30" s="18" t="n">
        <x:f>IFERROR(L29/L16,0)</x:f>
        <x:v>-1.2120877399138268</x:v>
      </x:c>
      <x:c r="M30" s="18" t="n">
        <x:f>IFERROR(M29/M16,0)</x:f>
        <x:v>-1.154883474013909</x:v>
      </x:c>
      <x:c r="N30" s="18" t="n">
        <x:f>IFERROR(N29/N16,0)</x:f>
        <x:v>-1.1550169314734422</x:v>
      </x:c>
      <x:c r="O30" s="18" t="n">
        <x:f>IFERROR(O29/O16,0)</x:f>
        <x:v>-1.1021564647651603</x:v>
      </x:c>
      <x:c r="P30" s="18" t="n">
        <x:f>IFERROR(P29/P16,0)</x:f>
        <x:v>-1.0524217481149745</x:v>
      </x:c>
      <x:c r="Q30" s="18" t="n">
        <x:f>IFERROR(Q29/Q16,0)</x:f>
        <x:v>-1.054728931830381</x:v>
      </x:c>
      <x:c r="R30" s="18" t="n">
        <x:f>IFERROR(R29/R16,0)</x:f>
        <x:v>-1.0076863726410175</x:v>
      </x:c>
      <x:c r="S30" s="18" t="n">
        <x:f>IFERROR(S29/S16,0)</x:f>
        <x:v>-0.9626013511374498</x:v>
      </x:c>
      <x:c r="T30" s="18" t="n">
        <x:f>IFERROR(T29/T16,0)</x:f>
        <x:v>-0.9658116311427972</x:v>
      </x:c>
      <x:c r="U30" s="18" t="n">
        <x:f>IFERROR(U29/U16,0)</x:f>
        <x:v>-0.9242747332410686</x:v>
      </x:c>
      <x:c r="V30" s="18" t="n">
        <x:f>IFERROR(V29/V16,0)</x:f>
        <x:v>-0.8843221648732975</x:v>
      </x:c>
      <x:c r="W30" s="18" t="n">
        <x:f>IFERROR(W29/W16,0)</x:f>
        <x:v>-0.8881295715778476</x:v>
      </x:c>
      <x:c r="X30" s="18" t="n">
        <x:f>IFERROR(X29/X16,0)</x:f>
        <x:v>-0.8500254452926208</x:v>
      </x:c>
      <x:c r="Y30" s="18" t="n">
        <x:f>IFERROR(Y29/Y16,0)</x:f>
        <x:v>-0.8133308540969382</x:v>
      </x:c>
    </x:row>
    <x:row r="31">
      <x:c r="A31" t="str">
        <x:v>Depreciation ($)</x:v>
      </x:c>
      <x:c r="B31" s="16" t="n">
        <x:f>Assumptions!$B$22</x:f>
        <x:v>16000</x:v>
      </x:c>
      <x:c r="C31" s="16" t="n">
        <x:f>Assumptions!$B$22</x:f>
        <x:v>16000</x:v>
      </x:c>
      <x:c r="D31" s="16" t="n">
        <x:f>Assumptions!$B$22</x:f>
        <x:v>16000</x:v>
      </x:c>
      <x:c r="E31" s="16" t="n">
        <x:f>Assumptions!$B$22</x:f>
        <x:v>16000</x:v>
      </x:c>
      <x:c r="F31" s="16" t="n">
        <x:f>Assumptions!$B$22</x:f>
        <x:v>16000</x:v>
      </x:c>
      <x:c r="G31" s="16" t="n">
        <x:f>Assumptions!$B$22</x:f>
        <x:v>16000</x:v>
      </x:c>
      <x:c r="H31" s="16" t="n">
        <x:f>Assumptions!$B$22</x:f>
        <x:v>16000</x:v>
      </x:c>
      <x:c r="I31" s="16" t="n">
        <x:f>Assumptions!$B$22</x:f>
        <x:v>16000</x:v>
      </x:c>
      <x:c r="J31" s="16" t="n">
        <x:f>Assumptions!$B$22</x:f>
        <x:v>16000</x:v>
      </x:c>
      <x:c r="K31" s="16" t="n">
        <x:f>Assumptions!$B$22</x:f>
        <x:v>16000</x:v>
      </x:c>
      <x:c r="L31" s="16" t="n">
        <x:f>Assumptions!$B$22</x:f>
        <x:v>16000</x:v>
      </x:c>
      <x:c r="M31" s="16" t="n">
        <x:f>Assumptions!$B$22</x:f>
        <x:v>16000</x:v>
      </x:c>
      <x:c r="N31" s="16" t="n">
        <x:f>Assumptions!$B$22</x:f>
        <x:v>16000</x:v>
      </x:c>
      <x:c r="O31" s="16" t="n">
        <x:f>Assumptions!$B$22</x:f>
        <x:v>16000</x:v>
      </x:c>
      <x:c r="P31" s="16" t="n">
        <x:f>Assumptions!$B$22</x:f>
        <x:v>16000</x:v>
      </x:c>
      <x:c r="Q31" s="16" t="n">
        <x:f>Assumptions!$B$22</x:f>
        <x:v>16000</x:v>
      </x:c>
      <x:c r="R31" s="16" t="n">
        <x:f>Assumptions!$B$22</x:f>
        <x:v>16000</x:v>
      </x:c>
      <x:c r="S31" s="16" t="n">
        <x:f>Assumptions!$B$22</x:f>
        <x:v>16000</x:v>
      </x:c>
      <x:c r="T31" s="16" t="n">
        <x:f>Assumptions!$B$22</x:f>
        <x:v>16000</x:v>
      </x:c>
      <x:c r="U31" s="16" t="n">
        <x:f>Assumptions!$B$22</x:f>
        <x:v>16000</x:v>
      </x:c>
      <x:c r="V31" s="16" t="n">
        <x:f>Assumptions!$B$22</x:f>
        <x:v>16000</x:v>
      </x:c>
      <x:c r="W31" s="16" t="n">
        <x:f>Assumptions!$B$22</x:f>
        <x:v>16000</x:v>
      </x:c>
      <x:c r="X31" s="16" t="n">
        <x:f>Assumptions!$B$22</x:f>
        <x:v>16000</x:v>
      </x:c>
      <x:c r="Y31" s="16" t="n">
        <x:f>Assumptions!$B$22</x:f>
        <x:v>16000</x:v>
      </x:c>
    </x:row>
    <x:row r="32">
      <x:c r="A32" t="str">
        <x:v>EBIT ($)</x:v>
      </x:c>
      <x:c r="B32" s="16" t="n">
        <x:f>B29-B31</x:f>
        <x:v>-405236.6</x:v>
      </x:c>
      <x:c r="C32" s="16" t="n">
        <x:f>C29-C31</x:f>
        <x:v>-399533.75</x:v>
      </x:c>
      <x:c r="D32" s="16" t="n">
        <x:f>D29-D31</x:f>
        <x:v>-393830.9</x:v>
      </x:c>
      <x:c r="E32" s="16" t="n">
        <x:f>E29-E31</x:f>
        <x:v>-406728.05</x:v>
      </x:c>
      <x:c r="F32" s="16" t="n">
        <x:f>F29-F31</x:f>
        <x:v>-400925.15</x:v>
      </x:c>
      <x:c r="G32" s="16" t="n">
        <x:f>G29-G31</x:f>
        <x:v>-395122.25</x:v>
      </x:c>
      <x:c r="H32" s="16" t="n">
        <x:f>H29-H31</x:f>
        <x:v>-407919.35</x:v>
      </x:c>
      <x:c r="I32" s="16" t="n">
        <x:f>I29-I31</x:f>
        <x:v>-402016.4</x:v>
      </x:c>
      <x:c r="J32" s="16" t="n">
        <x:f>J29-J31</x:f>
        <x:v>-396113.45</x:v>
      </x:c>
      <x:c r="K32" s="16" t="n">
        <x:f>K29-K31</x:f>
        <x:v>-408810.5</x:v>
      </x:c>
      <x:c r="L32" s="16" t="n">
        <x:f>L29-L31</x:f>
        <x:v>-402807.5</x:v>
      </x:c>
      <x:c r="M32" s="16" t="n">
        <x:f>M29-M31</x:f>
        <x:v>-396704.45</x:v>
      </x:c>
      <x:c r="N32" s="16" t="n">
        <x:f>N29-N31</x:f>
        <x:v>-424825.404</x:v>
      </x:c>
      <x:c r="O32" s="16" t="n">
        <x:f>O29-O31</x:f>
        <x:v>-418374.17999999993</x:v>
      </x:c>
      <x:c r="P32" s="16" t="n">
        <x:f>P29-P31</x:f>
        <x:v>-411922.956</x:v>
      </x:c>
      <x:c r="Q32" s="16" t="n">
        <x:f>Q29-Q31</x:f>
        <x:v>-424711.67999999993</x:v>
      </x:c>
      <x:c r="R32" s="16" t="n">
        <x:f>R29-R31</x:f>
        <x:v>-418052.35199999996</x:v>
      </x:c>
      <x:c r="S32" s="16" t="n">
        <x:f>S29-S31</x:f>
        <x:v>-411288.97199999995</x:v>
      </x:c>
      <x:c r="T32" s="16" t="n">
        <x:f>T29-T31</x:f>
        <x:v>-423869.592</x:v>
      </x:c>
      <x:c r="U32" s="16" t="n">
        <x:f>U29-U31</x:f>
        <x:v>-417106.212</x:v>
      </x:c>
      <x:c r="V32" s="16" t="n">
        <x:f>V29-V31</x:f>
        <x:v>-410238.7799999999</x:v>
      </x:c>
      <x:c r="W32" s="16" t="n">
        <x:f>W29-W31</x:f>
        <x:v>-422611.29600000003</x:v>
      </x:c>
      <x:c r="X32" s="16" t="n">
        <x:f>X29-X31</x:f>
        <x:v>-415535.75999999995</x:v>
      </x:c>
      <x:c r="Y32" s="16" t="n">
        <x:f>Y29-Y31</x:f>
        <x:v>-408356.172</x:v>
      </x:c>
    </x:row>
    <x:row r="33">
      <x:c r="A33" t="str">
        <x:v>Tax ($)</x:v>
      </x:c>
      <x:c r="B33" s="16" t="n">
        <x:f>MAX(0,B32)*Assumptions!$B$23</x:f>
        <x:v>0</x:v>
      </x:c>
      <x:c r="C33" s="16" t="n">
        <x:f>MAX(0,C32)*Assumptions!$B$23</x:f>
        <x:v>0</x:v>
      </x:c>
      <x:c r="D33" s="16" t="n">
        <x:f>MAX(0,D32)*Assumptions!$B$23</x:f>
        <x:v>0</x:v>
      </x:c>
      <x:c r="E33" s="16" t="n">
        <x:f>MAX(0,E32)*Assumptions!$B$23</x:f>
        <x:v>0</x:v>
      </x:c>
      <x:c r="F33" s="16" t="n">
        <x:f>MAX(0,F32)*Assumptions!$B$23</x:f>
        <x:v>0</x:v>
      </x:c>
      <x:c r="G33" s="16" t="n">
        <x:f>MAX(0,G32)*Assumptions!$B$23</x:f>
        <x:v>0</x:v>
      </x:c>
      <x:c r="H33" s="16" t="n">
        <x:f>MAX(0,H32)*Assumptions!$B$23</x:f>
        <x:v>0</x:v>
      </x:c>
      <x:c r="I33" s="16" t="n">
        <x:f>MAX(0,I32)*Assumptions!$B$23</x:f>
        <x:v>0</x:v>
      </x:c>
      <x:c r="J33" s="16" t="n">
        <x:f>MAX(0,J32)*Assumptions!$B$23</x:f>
        <x:v>0</x:v>
      </x:c>
      <x:c r="K33" s="16" t="n">
        <x:f>MAX(0,K32)*Assumptions!$B$23</x:f>
        <x:v>0</x:v>
      </x:c>
      <x:c r="L33" s="16" t="n">
        <x:f>MAX(0,L32)*Assumptions!$B$23</x:f>
        <x:v>0</x:v>
      </x:c>
      <x:c r="M33" s="16" t="n">
        <x:f>MAX(0,M32)*Assumptions!$B$23</x:f>
        <x:v>0</x:v>
      </x:c>
      <x:c r="N33" s="16" t="n">
        <x:f>MAX(0,N32)*Assumptions!$B$23</x:f>
        <x:v>0</x:v>
      </x:c>
      <x:c r="O33" s="16" t="n">
        <x:f>MAX(0,O32)*Assumptions!$B$23</x:f>
        <x:v>0</x:v>
      </x:c>
      <x:c r="P33" s="16" t="n">
        <x:f>MAX(0,P32)*Assumptions!$B$23</x:f>
        <x:v>0</x:v>
      </x:c>
      <x:c r="Q33" s="16" t="n">
        <x:f>MAX(0,Q32)*Assumptions!$B$23</x:f>
        <x:v>0</x:v>
      </x:c>
      <x:c r="R33" s="16" t="n">
        <x:f>MAX(0,R32)*Assumptions!$B$23</x:f>
        <x:v>0</x:v>
      </x:c>
      <x:c r="S33" s="16" t="n">
        <x:f>MAX(0,S32)*Assumptions!$B$23</x:f>
        <x:v>0</x:v>
      </x:c>
      <x:c r="T33" s="16" t="n">
        <x:f>MAX(0,T32)*Assumptions!$B$23</x:f>
        <x:v>0</x:v>
      </x:c>
      <x:c r="U33" s="16" t="n">
        <x:f>MAX(0,U32)*Assumptions!$B$23</x:f>
        <x:v>0</x:v>
      </x:c>
      <x:c r="V33" s="16" t="n">
        <x:f>MAX(0,V32)*Assumptions!$B$23</x:f>
        <x:v>0</x:v>
      </x:c>
      <x:c r="W33" s="16" t="n">
        <x:f>MAX(0,W32)*Assumptions!$B$23</x:f>
        <x:v>0</x:v>
      </x:c>
      <x:c r="X33" s="16" t="n">
        <x:f>MAX(0,X32)*Assumptions!$B$23</x:f>
        <x:v>0</x:v>
      </x:c>
      <x:c r="Y33" s="16" t="n">
        <x:f>MAX(0,Y32)*Assumptions!$B$23</x:f>
        <x:v>0</x:v>
      </x:c>
    </x:row>
    <x:row r="34">
      <x:c r="A34" t="str">
        <x:v>Net income ($)</x:v>
      </x:c>
      <x:c r="B34" s="16" t="n">
        <x:f>B32-B33</x:f>
        <x:v>-405236.6</x:v>
      </x:c>
      <x:c r="C34" s="16" t="n">
        <x:f>C32-C33</x:f>
        <x:v>-399533.75</x:v>
      </x:c>
      <x:c r="D34" s="16" t="n">
        <x:f>D32-D33</x:f>
        <x:v>-393830.9</x:v>
      </x:c>
      <x:c r="E34" s="16" t="n">
        <x:f>E32-E33</x:f>
        <x:v>-406728.05</x:v>
      </x:c>
      <x:c r="F34" s="16" t="n">
        <x:f>F32-F33</x:f>
        <x:v>-400925.15</x:v>
      </x:c>
      <x:c r="G34" s="16" t="n">
        <x:f>G32-G33</x:f>
        <x:v>-395122.25</x:v>
      </x:c>
      <x:c r="H34" s="16" t="n">
        <x:f>H32-H33</x:f>
        <x:v>-407919.35</x:v>
      </x:c>
      <x:c r="I34" s="16" t="n">
        <x:f>I32-I33</x:f>
        <x:v>-402016.4</x:v>
      </x:c>
      <x:c r="J34" s="16" t="n">
        <x:f>J32-J33</x:f>
        <x:v>-396113.45</x:v>
      </x:c>
      <x:c r="K34" s="16" t="n">
        <x:f>K32-K33</x:f>
        <x:v>-408810.5</x:v>
      </x:c>
      <x:c r="L34" s="16" t="n">
        <x:f>L32-L33</x:f>
        <x:v>-402807.5</x:v>
      </x:c>
      <x:c r="M34" s="16" t="n">
        <x:f>M32-M33</x:f>
        <x:v>-396704.45</x:v>
      </x:c>
      <x:c r="N34" s="16" t="n">
        <x:f>N32-N33</x:f>
        <x:v>-424825.404</x:v>
      </x:c>
      <x:c r="O34" s="16" t="n">
        <x:f>O32-O33</x:f>
        <x:v>-418374.17999999993</x:v>
      </x:c>
      <x:c r="P34" s="16" t="n">
        <x:f>P32-P33</x:f>
        <x:v>-411922.956</x:v>
      </x:c>
      <x:c r="Q34" s="16" t="n">
        <x:f>Q32-Q33</x:f>
        <x:v>-424711.67999999993</x:v>
      </x:c>
      <x:c r="R34" s="16" t="n">
        <x:f>R32-R33</x:f>
        <x:v>-418052.35199999996</x:v>
      </x:c>
      <x:c r="S34" s="16" t="n">
        <x:f>S32-S33</x:f>
        <x:v>-411288.97199999995</x:v>
      </x:c>
      <x:c r="T34" s="16" t="n">
        <x:f>T32-T33</x:f>
        <x:v>-423869.592</x:v>
      </x:c>
      <x:c r="U34" s="16" t="n">
        <x:f>U32-U33</x:f>
        <x:v>-417106.212</x:v>
      </x:c>
      <x:c r="V34" s="16" t="n">
        <x:f>V32-V33</x:f>
        <x:v>-410238.7799999999</x:v>
      </x:c>
      <x:c r="W34" s="16" t="n">
        <x:f>W32-W33</x:f>
        <x:v>-422611.29600000003</x:v>
      </x:c>
      <x:c r="X34" s="16" t="n">
        <x:f>X32-X33</x:f>
        <x:v>-415535.75999999995</x:v>
      </x:c>
      <x:c r="Y34" s="16" t="n">
        <x:f>Y32-Y33</x:f>
        <x:v>-408356.172</x:v>
      </x:c>
    </x:row>
    <x:row r="35"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s="16"/>
      <x:c r="Y35" s="16"/>
    </x:row>
    <x:row r="36">
      <x:c r="A36" t="str">
        <x:v>Capex ($)</x:v>
      </x:c>
      <x:c r="B36" s="16" t="n">
        <x:f>Assumptions!$B$21</x:f>
        <x:v>22000</x:v>
      </x:c>
      <x:c r="C36" s="16" t="n">
        <x:f>Assumptions!$B$21</x:f>
        <x:v>22000</x:v>
      </x:c>
      <x:c r="D36" s="16" t="n">
        <x:f>Assumptions!$B$21</x:f>
        <x:v>22000</x:v>
      </x:c>
      <x:c r="E36" s="16" t="n">
        <x:f>Assumptions!$B$21</x:f>
        <x:v>22000</x:v>
      </x:c>
      <x:c r="F36" s="16" t="n">
        <x:f>Assumptions!$B$21</x:f>
        <x:v>22000</x:v>
      </x:c>
      <x:c r="G36" s="16" t="n">
        <x:f>Assumptions!$B$21</x:f>
        <x:v>22000</x:v>
      </x:c>
      <x:c r="H36" s="16" t="n">
        <x:f>Assumptions!$B$21</x:f>
        <x:v>22000</x:v>
      </x:c>
      <x:c r="I36" s="16" t="n">
        <x:f>Assumptions!$B$21</x:f>
        <x:v>22000</x:v>
      </x:c>
      <x:c r="J36" s="16" t="n">
        <x:f>Assumptions!$B$21</x:f>
        <x:v>22000</x:v>
      </x:c>
      <x:c r="K36" s="16" t="n">
        <x:f>Assumptions!$B$21</x:f>
        <x:v>22000</x:v>
      </x:c>
      <x:c r="L36" s="16" t="n">
        <x:f>Assumptions!$B$21</x:f>
        <x:v>22000</x:v>
      </x:c>
      <x:c r="M36" s="16" t="n">
        <x:f>Assumptions!$B$21</x:f>
        <x:v>22000</x:v>
      </x:c>
      <x:c r="N36" s="16" t="n">
        <x:f>Assumptions!$B$21</x:f>
        <x:v>22000</x:v>
      </x:c>
      <x:c r="O36" s="16" t="n">
        <x:f>Assumptions!$B$21</x:f>
        <x:v>22000</x:v>
      </x:c>
      <x:c r="P36" s="16" t="n">
        <x:f>Assumptions!$B$21</x:f>
        <x:v>22000</x:v>
      </x:c>
      <x:c r="Q36" s="16" t="n">
        <x:f>Assumptions!$B$21</x:f>
        <x:v>22000</x:v>
      </x:c>
      <x:c r="R36" s="16" t="n">
        <x:f>Assumptions!$B$21</x:f>
        <x:v>22000</x:v>
      </x:c>
      <x:c r="S36" s="16" t="n">
        <x:f>Assumptions!$B$21</x:f>
        <x:v>22000</x:v>
      </x:c>
      <x:c r="T36" s="16" t="n">
        <x:f>Assumptions!$B$21</x:f>
        <x:v>22000</x:v>
      </x:c>
      <x:c r="U36" s="16" t="n">
        <x:f>Assumptions!$B$21</x:f>
        <x:v>22000</x:v>
      </x:c>
      <x:c r="V36" s="16" t="n">
        <x:f>Assumptions!$B$21</x:f>
        <x:v>22000</x:v>
      </x:c>
      <x:c r="W36" s="16" t="n">
        <x:f>Assumptions!$B$21</x:f>
        <x:v>22000</x:v>
      </x:c>
      <x:c r="X36" s="16" t="n">
        <x:f>Assumptions!$B$21</x:f>
        <x:v>22000</x:v>
      </x:c>
      <x:c r="Y36" s="16" t="n">
        <x:f>Assumptions!$B$21</x:f>
        <x:v>22000</x:v>
      </x:c>
    </x:row>
    <x:row r="37">
      <x:c r="A37" t="str">
        <x:v>Change in working capital ($)</x:v>
      </x:c>
      <x:c r="B37" s="16" t="n">
        <x:f>B16*Assumptions!$B$24</x:f>
        <x:v>17498.4</x:v>
      </x:c>
      <x:c r="C37" s="16" t="n">
        <x:f>(C16-B16)*Assumptions!$B$24</x:f>
        <x:v>786.6</x:v>
      </x:c>
      <x:c r="D37" s="16" t="n">
        <x:f>(D16-C16)*Assumptions!$B$24</x:f>
        <x:v>786.6</x:v>
      </x:c>
      <x:c r="E37" s="16" t="n">
        <x:f>(E16-D16)*Assumptions!$B$24</x:f>
        <x:v>786.6</x:v>
      </x:c>
      <x:c r="F37" s="16" t="n">
        <x:f>(F16-E16)*Assumptions!$B$24</x:f>
        <x:v>800.4</x:v>
      </x:c>
      <x:c r="G37" s="16" t="n">
        <x:f>(G16-F16)*Assumptions!$B$24</x:f>
        <x:v>800.4</x:v>
      </x:c>
      <x:c r="H37" s="16" t="n">
        <x:f>(H16-G16)*Assumptions!$B$24</x:f>
        <x:v>800.4</x:v>
      </x:c>
      <x:c r="I37" s="16" t="n">
        <x:f>(I16-H16)*Assumptions!$B$24</x:f>
        <x:v>814.2</x:v>
      </x:c>
      <x:c r="J37" s="16" t="n">
        <x:f>(J16-I16)*Assumptions!$B$24</x:f>
        <x:v>814.2</x:v>
      </x:c>
      <x:c r="K37" s="16" t="n">
        <x:f>(K16-J16)*Assumptions!$B$24</x:f>
        <x:v>814.2</x:v>
      </x:c>
      <x:c r="L37" s="16" t="n">
        <x:f>(L16-K16)*Assumptions!$B$24</x:f>
        <x:v>828</x:v>
      </x:c>
      <x:c r="M37" s="16" t="n">
        <x:f>(M16-L16)*Assumptions!$B$24</x:f>
        <x:v>841.8000000000001</x:v>
      </x:c>
      <x:c r="N37" s="16" t="n">
        <x:f>(N16-M16)*Assumptions!$B$24</x:f>
        <x:v>1944.696000000001</x:v>
      </x:c>
      <x:c r="O37" s="16" t="n">
        <x:f>(O16-N16)*Assumptions!$B$24</x:f>
        <x:v>889.823999999999</x:v>
      </x:c>
      <x:c r="P37" s="16" t="n">
        <x:f>(P16-O16)*Assumptions!$B$24</x:f>
        <x:v>889.823999999999</x:v>
      </x:c>
      <x:c r="Q37" s="16" t="n">
        <x:f>(Q16-P16)*Assumptions!$B$24</x:f>
        <x:v>904.176000000001</x:v>
      </x:c>
      <x:c r="R37" s="16" t="n">
        <x:f>(R16-Q16)*Assumptions!$B$24</x:f>
        <x:v>918.5280000000029</x:v>
      </x:c>
      <x:c r="S37" s="16" t="n">
        <x:f>(S16-R16)*Assumptions!$B$24</x:f>
        <x:v>932.88</x:v>
      </x:c>
      <x:c r="T37" s="16" t="n">
        <x:f>(T16-S16)*Assumptions!$B$24</x:f>
        <x:v>932.88</x:v>
      </x:c>
      <x:c r="U37" s="16" t="n">
        <x:f>(U16-T16)*Assumptions!$B$24</x:f>
        <x:v>932.88</x:v>
      </x:c>
      <x:c r="V37" s="16" t="n">
        <x:f>(V16-U16)*Assumptions!$B$24</x:f>
        <x:v>947.2319999999972</x:v>
      </x:c>
      <x:c r="W37" s="16" t="n">
        <x:f>(W16-V16)*Assumptions!$B$24</x:f>
        <x:v>961.583999999999</x:v>
      </x:c>
      <x:c r="X37" s="16" t="n">
        <x:f>(X16-W16)*Assumptions!$B$24</x:f>
        <x:v>975.936000000001</x:v>
      </x:c>
      <x:c r="Y37" s="16" t="n">
        <x:f>(Y16-X16)*Assumptions!$B$24</x:f>
        <x:v>990.2880000000029</x:v>
      </x:c>
    </x:row>
    <x:row r="38">
      <x:c r="A38" t="str">
        <x:v>Cash from operations ($)</x:v>
      </x:c>
      <x:c r="B38" s="16" t="n">
        <x:f>B34+B31-B37</x:f>
        <x:v>-406735</x:v>
      </x:c>
      <x:c r="C38" s="16" t="n">
        <x:f>C34+C31-C37</x:f>
        <x:v>-384320.35</x:v>
      </x:c>
      <x:c r="D38" s="16" t="n">
        <x:f>D34+D31-D37</x:f>
        <x:v>-378617.5</x:v>
      </x:c>
      <x:c r="E38" s="16" t="n">
        <x:f>E34+E31-E37</x:f>
        <x:v>-391514.64999999997</x:v>
      </x:c>
      <x:c r="F38" s="16" t="n">
        <x:f>F34+F31-F37</x:f>
        <x:v>-385725.55000000005</x:v>
      </x:c>
      <x:c r="G38" s="16" t="n">
        <x:f>G34+G31-G37</x:f>
        <x:v>-379922.65</x:v>
      </x:c>
      <x:c r="H38" s="16" t="n">
        <x:f>H34+H31-H37</x:f>
        <x:v>-392719.75</x:v>
      </x:c>
      <x:c r="I38" s="16" t="n">
        <x:f>I34+I31-I37</x:f>
        <x:v>-386830.60000000003</x:v>
      </x:c>
      <x:c r="J38" s="16" t="n">
        <x:f>J34+J31-J37</x:f>
        <x:v>-380927.65</x:v>
      </x:c>
      <x:c r="K38" s="16" t="n">
        <x:f>K34+K31-K37</x:f>
        <x:v>-393624.7</x:v>
      </x:c>
      <x:c r="L38" s="16" t="n">
        <x:f>L34+L31-L37</x:f>
        <x:v>-387635.5</x:v>
      </x:c>
      <x:c r="M38" s="16" t="n">
        <x:f>M34+M31-M37</x:f>
        <x:v>-381546.25</x:v>
      </x:c>
      <x:c r="N38" s="16" t="n">
        <x:f>N34+N31-N37</x:f>
        <x:v>-410770.1</x:v>
      </x:c>
      <x:c r="O38" s="16" t="n">
        <x:f>O34+O31-O37</x:f>
        <x:v>-403264.00399999996</x:v>
      </x:c>
      <x:c r="P38" s="16" t="n">
        <x:f>P34+P31-P37</x:f>
        <x:v>-396812.78</x:v>
      </x:c>
      <x:c r="Q38" s="16" t="n">
        <x:f>Q34+Q31-Q37</x:f>
        <x:v>-409615.8559999999</x:v>
      </x:c>
      <x:c r="R38" s="16" t="n">
        <x:f>R34+R31-R37</x:f>
        <x:v>-402970.87999999995</x:v>
      </x:c>
      <x:c r="S38" s="16" t="n">
        <x:f>S34+S31-S37</x:f>
        <x:v>-396221.85199999996</x:v>
      </x:c>
      <x:c r="T38" s="16" t="n">
        <x:f>T34+T31-T37</x:f>
        <x:v>-408802.472</x:v>
      </x:c>
      <x:c r="U38" s="16" t="n">
        <x:f>U34+U31-U37</x:f>
        <x:v>-402039.092</x:v>
      </x:c>
      <x:c r="V38" s="16" t="n">
        <x:f>V34+V31-V37</x:f>
        <x:v>-395186.01199999993</x:v>
      </x:c>
      <x:c r="W38" s="16" t="n">
        <x:f>W34+W31-W37</x:f>
        <x:v>-407572.88</x:v>
      </x:c>
      <x:c r="X38" s="16" t="n">
        <x:f>X34+X31-X37</x:f>
        <x:v>-400511.69599999994</x:v>
      </x:c>
      <x:c r="Y38" s="16" t="n">
        <x:f>Y34+Y31-Y37</x:f>
        <x:v>-393346.46</x:v>
      </x:c>
    </x:row>
    <x:row r="39">
      <x:c r="A39" t="str">
        <x:v>Free cash flow ($)</x:v>
      </x:c>
      <x:c r="B39" s="16" t="n">
        <x:f>B38-B36</x:f>
        <x:v>-428735</x:v>
      </x:c>
      <x:c r="C39" s="16" t="n">
        <x:f>C38-C36</x:f>
        <x:v>-406320.35</x:v>
      </x:c>
      <x:c r="D39" s="16" t="n">
        <x:f>D38-D36</x:f>
        <x:v>-400617.5</x:v>
      </x:c>
      <x:c r="E39" s="16" t="n">
        <x:f>E38-E36</x:f>
        <x:v>-413514.64999999997</x:v>
      </x:c>
      <x:c r="F39" s="16" t="n">
        <x:f>F38-F36</x:f>
        <x:v>-407725.55000000005</x:v>
      </x:c>
      <x:c r="G39" s="16" t="n">
        <x:f>G38-G36</x:f>
        <x:v>-401922.65</x:v>
      </x:c>
      <x:c r="H39" s="16" t="n">
        <x:f>H38-H36</x:f>
        <x:v>-414719.75</x:v>
      </x:c>
      <x:c r="I39" s="16" t="n">
        <x:f>I38-I36</x:f>
        <x:v>-408830.60000000003</x:v>
      </x:c>
      <x:c r="J39" s="16" t="n">
        <x:f>J38-J36</x:f>
        <x:v>-402927.65</x:v>
      </x:c>
      <x:c r="K39" s="16" t="n">
        <x:f>K38-K36</x:f>
        <x:v>-415624.7</x:v>
      </x:c>
      <x:c r="L39" s="16" t="n">
        <x:f>L38-L36</x:f>
        <x:v>-409635.5</x:v>
      </x:c>
      <x:c r="M39" s="16" t="n">
        <x:f>M38-M36</x:f>
        <x:v>-403546.25</x:v>
      </x:c>
      <x:c r="N39" s="16" t="n">
        <x:f>N38-N36</x:f>
        <x:v>-432770.1</x:v>
      </x:c>
      <x:c r="O39" s="16" t="n">
        <x:f>O38-O36</x:f>
        <x:v>-425264.00399999996</x:v>
      </x:c>
      <x:c r="P39" s="16" t="n">
        <x:f>P38-P36</x:f>
        <x:v>-418812.78</x:v>
      </x:c>
      <x:c r="Q39" s="16" t="n">
        <x:f>Q38-Q36</x:f>
        <x:v>-431615.8559999999</x:v>
      </x:c>
      <x:c r="R39" s="16" t="n">
        <x:f>R38-R36</x:f>
        <x:v>-424970.87999999995</x:v>
      </x:c>
      <x:c r="S39" s="16" t="n">
        <x:f>S38-S36</x:f>
        <x:v>-418221.85199999996</x:v>
      </x:c>
      <x:c r="T39" s="16" t="n">
        <x:f>T38-T36</x:f>
        <x:v>-430802.472</x:v>
      </x:c>
      <x:c r="U39" s="16" t="n">
        <x:f>U38-U36</x:f>
        <x:v>-424039.092</x:v>
      </x:c>
      <x:c r="V39" s="16" t="n">
        <x:f>V38-V36</x:f>
        <x:v>-417186.01199999993</x:v>
      </x:c>
      <x:c r="W39" s="16" t="n">
        <x:f>W38-W36</x:f>
        <x:v>-429572.88</x:v>
      </x:c>
      <x:c r="X39" s="16" t="n">
        <x:f>X38-X36</x:f>
        <x:v>-422511.69599999994</x:v>
      </x:c>
      <x:c r="Y39" s="16" t="n">
        <x:f>Y38-Y36</x:f>
        <x:v>-415346.46</x:v>
      </x:c>
    </x:row>
    <x:row r="40">
      <x:c r="A40" t="str">
        <x:v>Ending cash ($)</x:v>
      </x:c>
      <x:c r="B40" s="16" t="n">
        <x:f>Assumptions!$B$20+B39</x:f>
        <x:v>5771265</x:v>
      </x:c>
      <x:c r="C40" s="16" t="n">
        <x:f>B40+C39</x:f>
        <x:v>5364944.65</x:v>
      </x:c>
      <x:c r="D40" s="16" t="n">
        <x:f>C40+D39</x:f>
        <x:v>4964327.15</x:v>
      </x:c>
      <x:c r="E40" s="16" t="n">
        <x:f>D40+E39</x:f>
        <x:v>4550812.5</x:v>
      </x:c>
      <x:c r="F40" s="16" t="n">
        <x:f>E40+F39</x:f>
        <x:v>4143086.95</x:v>
      </x:c>
      <x:c r="G40" s="16" t="n">
        <x:f>F40+G39</x:f>
        <x:v>3741164.3000000003</x:v>
      </x:c>
      <x:c r="H40" s="16" t="n">
        <x:f>G40+H39</x:f>
        <x:v>3326444.5500000003</x:v>
      </x:c>
      <x:c r="I40" s="16" t="n">
        <x:f>H40+I39</x:f>
        <x:v>2917613.95</x:v>
      </x:c>
      <x:c r="J40" s="16" t="n">
        <x:f>I40+J39</x:f>
        <x:v>2514686.3000000003</x:v>
      </x:c>
      <x:c r="K40" s="16" t="n">
        <x:f>J40+K39</x:f>
        <x:v>2099061.6</x:v>
      </x:c>
      <x:c r="L40" s="16" t="n">
        <x:f>K40+L39</x:f>
        <x:v>1689426.1</x:v>
      </x:c>
      <x:c r="M40" s="16" t="n">
        <x:f>L40+M39</x:f>
        <x:v>1285879.85</x:v>
      </x:c>
      <x:c r="N40" s="16" t="n">
        <x:f>M40+N39</x:f>
        <x:v>853109.7500000001</x:v>
      </x:c>
      <x:c r="O40" s="16" t="n">
        <x:f>N40+O39</x:f>
        <x:v>427845.74600000016</x:v>
      </x:c>
      <x:c r="P40" s="16" t="n">
        <x:f>O40+P39</x:f>
        <x:v>9032.966000000131</x:v>
      </x:c>
      <x:c r="Q40" s="16" t="n">
        <x:f>P40+Q39</x:f>
        <x:v>-422582.8899999998</x:v>
      </x:c>
      <x:c r="R40" s="16" t="n">
        <x:f>Q40+R39</x:f>
        <x:v>-847553.7699999998</x:v>
      </x:c>
      <x:c r="S40" s="16" t="n">
        <x:f>R40+S39</x:f>
        <x:v>-1265775.6219999997</x:v>
      </x:c>
      <x:c r="T40" s="16" t="n">
        <x:f>S40+T39</x:f>
        <x:v>-1696578.0939999998</x:v>
      </x:c>
      <x:c r="U40" s="16" t="n">
        <x:f>T40+U39</x:f>
        <x:v>-2120617.1859999998</x:v>
      </x:c>
      <x:c r="V40" s="16" t="n">
        <x:f>U40+V39</x:f>
        <x:v>-2537803.198</x:v>
      </x:c>
      <x:c r="W40" s="16" t="n">
        <x:f>V40+W39</x:f>
        <x:v>-2967376.0779999997</x:v>
      </x:c>
      <x:c r="X40" s="16" t="n">
        <x:f>W40+X39</x:f>
        <x:v>-3389887.7739999997</x:v>
      </x:c>
      <x:c r="Y40" s="16" t="n">
        <x:f>X40+Y39</x:f>
        <x:v>-3805234.2339999997</x:v>
      </x:c>
    </x:row>
    <x:row r="41"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s="16"/>
      <x:c r="Y41" s="16"/>
    </x:row>
    <x:row r="42">
      <x:c r="A42" t="str">
        <x:v>Revenue YoY</x:v>
      </x:c>
      <x:c r="B42" s="18" t="n">
        <x:f>0</x:f>
        <x:v>0</x:v>
      </x:c>
      <x:c r="C42" s="18" t="n">
        <x:f>0</x:f>
        <x:v>0</x:v>
      </x:c>
      <x:c r="D42" s="18" t="n">
        <x:f>0</x:f>
        <x:v>0</x:v>
      </x:c>
      <x:c r="E42" s="18" t="n">
        <x:f>0</x:f>
        <x:v>0</x:v>
      </x:c>
      <x:c r="F42" s="18" t="n">
        <x:f>0</x:f>
        <x:v>0</x:v>
      </x:c>
      <x:c r="G42" s="18" t="n">
        <x:f>0</x:f>
        <x:v>0</x:v>
      </x:c>
      <x:c r="H42" s="18" t="n">
        <x:f>0</x:f>
        <x:v>0</x:v>
      </x:c>
      <x:c r="I42" s="18" t="n">
        <x:f>0</x:f>
        <x:v>0</x:v>
      </x:c>
      <x:c r="J42" s="18" t="n">
        <x:f>0</x:f>
        <x:v>0</x:v>
      </x:c>
      <x:c r="K42" s="18" t="n">
        <x:f>0</x:f>
        <x:v>0</x:v>
      </x:c>
      <x:c r="L42" s="18" t="n">
        <x:f>0</x:f>
        <x:v>0</x:v>
      </x:c>
      <x:c r="M42" s="18" t="n">
        <x:f>0</x:f>
        <x:v>0</x:v>
      </x:c>
      <x:c r="N42" s="18" t="n">
        <x:f>IFERROR(N16/B16-1,0)</x:f>
        <x:v>0.6182334384858044</x:v>
      </x:c>
      <x:c r="O42" s="18" t="n">
        <x:f>IFERROR(O16/C16-1,0)</x:f>
        <x:v>0.5972830188679246</x:v>
      </x:c>
      <x:c r="P42" s="18" t="n">
        <x:f>IFERROR(P16/D16-1,0)</x:f>
        <x:v>0.5780607814761216</x:v>
      </x:c>
      <x:c r="Q42" s="18" t="n">
        <x:f>IFERROR(Q16/E16-1,0)</x:f>
        <x:v>0.5610840861709521</x:v>
      </x:c>
      <x:c r="R42" s="18" t="n">
        <x:f>IFERROR(R16/F16-1,0)</x:f>
        <x:v>0.5450634602538411</x:v>
      </x:c>
      <x:c r="S42" s="18" t="n">
        <x:f>IFERROR(S16/G16-1,0)</x:f>
        <x:v>0.5309067524115756</x:v>
      </x:c>
      <x:c r="T42" s="18" t="n">
        <x:f>IFERROR(T16/H16-1,0)</x:f>
        <x:v>0.5177681339119653</x:v>
      </x:c>
      <x:c r="U42" s="18" t="n">
        <x:f>IFERROR(U16/I16-1,0)</x:f>
        <x:v>0.504641148325359</x:v>
      </x:c>
      <x:c r="V42" s="18" t="n">
        <x:f>IFERROR(V16/J16-1,0)</x:f>
        <x:v>0.4930098209127671</x:v>
      </x:c>
      <x:c r="W42" s="18" t="n">
        <x:f>IFERROR(W16/K16-1,0)</x:f>
        <x:v>0.48272625698324023</x:v>
      </x:c>
      <x:c r="X42" s="18" t="n">
        <x:f>IFERROR(X16/L16-1,0)</x:f>
        <x:v>0.4728648648648648</x:v>
      </x:c>
      <x:c r="Y42" s="18" t="n">
        <x:f>IFERROR(Y16/M16-1,0)</x:f>
        <x:v>0.46340136054421777</x:v>
      </x:c>
    </x:row>
    <x:row r="43">
      <x:c r="A43" t="str">
        <x:v>Rule of 40</x:v>
      </x:c>
      <x:c r="B43" s="18" t="n">
        <x:f>B42+B30</x:f>
        <x:v>-1.7795300141727242</x:v>
      </x:c>
      <x:c r="C43" s="18" t="n">
        <x:f>C42+C30</x:f>
        <x:v>-1.6780257041290676</x:v>
      </x:c>
      <x:c r="D43" s="18" t="n">
        <x:f>D42+D30</x:f>
        <x:v>-1.5848943979529773</x:v>
      </x:c>
      <x:c r="E43" s="18" t="n">
        <x:f>E42+E30</x:f>
        <x:v>-1.5740723731254596</x:v>
      </x:c>
      <x:c r="F43" s="18" t="n">
        <x:f>F42+F30</x:f>
        <x:v>-1.4906146592702314</x:v>
      </x:c>
      <x:c r="G43" s="18" t="n">
        <x:f>G42+G30</x:f>
        <x:v>-1.4133827298569366</x:v>
      </x:c>
      <x:c r="H43" s="18" t="n">
        <x:f>H42+H30</x:f>
        <x:v>-1.4085531505790811</x:v>
      </x:c>
      <x:c r="I43" s="18" t="n">
        <x:f>I42+I30</x:f>
        <x:v>-1.3383829138062548</x:v>
      </x:c>
      <x:c r="J43" s="18" t="n">
        <x:f>J42+J30</x:f>
        <x:v>-1.2729960900543373</x:v>
      </x:c>
      <x:c r="K43" s="18" t="n">
        <x:f>K42+K30</x:f>
        <x:v>-1.2721577200226701</x:v>
      </x:c>
      <x:c r="L43" s="18" t="n">
        <x:f>L42+L30</x:f>
        <x:v>-1.2120877399138268</x:v>
      </x:c>
      <x:c r="M43" s="18" t="n">
        <x:f>M42+M30</x:f>
        <x:v>-1.154883474013909</x:v>
      </x:c>
      <x:c r="N43" s="18" t="n">
        <x:f>N42+N30</x:f>
        <x:v>-0.5367834929876378</x:v>
      </x:c>
      <x:c r="O43" s="18" t="n">
        <x:f>O42+O30</x:f>
        <x:v>-0.5048734458972357</x:v>
      </x:c>
      <x:c r="P43" s="18" t="n">
        <x:f>P42+P30</x:f>
        <x:v>-0.47436096663885285</x:v>
      </x:c>
      <x:c r="Q43" s="18" t="n">
        <x:f>Q42+Q30</x:f>
        <x:v>-0.4936448456594289</x:v>
      </x:c>
      <x:c r="R43" s="18" t="n">
        <x:f>R42+R30</x:f>
        <x:v>-0.46262291238717634</x:v>
      </x:c>
      <x:c r="S43" s="18" t="n">
        <x:f>S42+S30</x:f>
        <x:v>-0.43169459872587423</x:v>
      </x:c>
      <x:c r="T43" s="18" t="n">
        <x:f>T42+T30</x:f>
        <x:v>-0.4480434972308319</x:v>
      </x:c>
      <x:c r="U43" s="18" t="n">
        <x:f>U42+U30</x:f>
        <x:v>-0.41963358491570957</x:v>
      </x:c>
      <x:c r="V43" s="18" t="n">
        <x:f>V42+V30</x:f>
        <x:v>-0.3913123439605304</x:v>
      </x:c>
      <x:c r="W43" s="18" t="n">
        <x:f>W42+W30</x:f>
        <x:v>-0.4054033145946073</x:v>
      </x:c>
      <x:c r="X43" s="18" t="n">
        <x:f>X42+X30</x:f>
        <x:v>-0.377160580427756</x:v>
      </x:c>
      <x:c r="Y43" s="18" t="n">
        <x:f>Y42+Y30</x:f>
        <x:v>-0.3499294935527204</x:v>
      </x:c>
    </x:row>
  </x:sheetData>
  <x:mergeCells>
    <x:mergeCell ref="A1:P2"/>
    <x:mergeCell ref="A3:P3"/>
    <x:mergeCell ref="A5:P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3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5" customHeight="1">
      <x:c r="A1" s="3" t="str">
        <x:v>SAAS METRICS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2" customHeight="1">
      <x:c r="A3" s="7" t="str">
        <x:v>SYNTHETIC SAAS CASE STUDY  •  USD  •  FY2026 ILLUSTRATIVE ACTUALS / FY2027 PLAN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5" ht="23" customHeight="1">
      <x:c r="A5" s="10" t="str">
        <x:v>SAAS UNIT ECONOMICS — MONTHLY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7">
      <x:c r="A7" t="str">
        <x:v>Month</x:v>
      </x:c>
      <x:c r="B7" t="str">
        <x:f>'Monthly FP&amp;A'!B7</x:f>
        <x:v>2026-01</x:v>
      </x:c>
      <x:c r="C7" t="str">
        <x:f>'Monthly FP&amp;A'!C7</x:f>
        <x:v>2026-02</x:v>
      </x:c>
      <x:c r="D7" t="str">
        <x:f>'Monthly FP&amp;A'!D7</x:f>
        <x:v>2026-03</x:v>
      </x:c>
      <x:c r="E7" t="str">
        <x:f>'Monthly FP&amp;A'!E7</x:f>
        <x:v>2026-04</x:v>
      </x:c>
      <x:c r="F7" t="str">
        <x:f>'Monthly FP&amp;A'!F7</x:f>
        <x:v>2026-05</x:v>
      </x:c>
      <x:c r="G7" t="str">
        <x:f>'Monthly FP&amp;A'!G7</x:f>
        <x:v>2026-06</x:v>
      </x:c>
      <x:c r="H7" t="str">
        <x:f>'Monthly FP&amp;A'!H7</x:f>
        <x:v>2026-07</x:v>
      </x:c>
      <x:c r="I7" t="str">
        <x:f>'Monthly FP&amp;A'!I7</x:f>
        <x:v>2026-08</x:v>
      </x:c>
      <x:c r="J7" t="str">
        <x:f>'Monthly FP&amp;A'!J7</x:f>
        <x:v>2026-09</x:v>
      </x:c>
      <x:c r="K7" t="str">
        <x:f>'Monthly FP&amp;A'!K7</x:f>
        <x:v>2026-10</x:v>
      </x:c>
      <x:c r="L7" t="str">
        <x:f>'Monthly FP&amp;A'!L7</x:f>
        <x:v>2026-11</x:v>
      </x:c>
      <x:c r="M7" t="str">
        <x:f>'Monthly FP&amp;A'!M7</x:f>
        <x:v>2026-12</x:v>
      </x:c>
      <x:c r="N7" t="str">
        <x:f>'Monthly FP&amp;A'!N7</x:f>
        <x:v>2027-01</x:v>
      </x:c>
      <x:c r="O7" t="str">
        <x:f>'Monthly FP&amp;A'!O7</x:f>
        <x:v>2027-02</x:v>
      </x:c>
      <x:c r="P7" t="str">
        <x:f>'Monthly FP&amp;A'!P7</x:f>
        <x:v>2027-03</x:v>
      </x:c>
      <x:c r="Q7" t="str">
        <x:f>'Monthly FP&amp;A'!Q7</x:f>
        <x:v>2027-04</x:v>
      </x:c>
      <x:c r="R7" t="str">
        <x:f>'Monthly FP&amp;A'!R7</x:f>
        <x:v>2027-05</x:v>
      </x:c>
      <x:c r="S7" t="str">
        <x:f>'Monthly FP&amp;A'!S7</x:f>
        <x:v>2027-06</x:v>
      </x:c>
      <x:c r="T7" t="str">
        <x:f>'Monthly FP&amp;A'!T7</x:f>
        <x:v>2027-07</x:v>
      </x:c>
      <x:c r="U7" t="str">
        <x:f>'Monthly FP&amp;A'!U7</x:f>
        <x:v>2027-08</x:v>
      </x:c>
      <x:c r="V7" t="str">
        <x:f>'Monthly FP&amp;A'!V7</x:f>
        <x:v>2027-09</x:v>
      </x:c>
      <x:c r="W7" t="str">
        <x:f>'Monthly FP&amp;A'!W7</x:f>
        <x:v>2027-10</x:v>
      </x:c>
      <x:c r="X7" t="str">
        <x:f>'Monthly FP&amp;A'!X7</x:f>
        <x:v>2027-11</x:v>
      </x:c>
      <x:c r="Y7" t="str">
        <x:f>'Monthly FP&amp;A'!Y7</x:f>
        <x:v>2027-12</x:v>
      </x:c>
    </x:row>
    <x:row r="9">
      <x:c r="A9" t="str">
        <x:v>MRR ($)</x:v>
      </x:c>
      <x:c r="B9" s="20" t="n">
        <x:f>'Monthly FP&amp;A'!B16</x:f>
        <x:v>218730</x:v>
      </x:c>
      <x:c r="C9" s="20" t="n">
        <x:f>'Monthly FP&amp;A'!C16</x:f>
        <x:v>228562.5</x:v>
      </x:c>
      <x:c r="D9" s="20" t="n">
        <x:f>'Monthly FP&amp;A'!D16</x:f>
        <x:v>238395</x:v>
      </x:c>
      <x:c r="E9" s="20" t="n">
        <x:f>'Monthly FP&amp;A'!E16</x:f>
        <x:v>248227.5</x:v>
      </x:c>
      <x:c r="F9" s="20" t="n">
        <x:f>'Monthly FP&amp;A'!F16</x:f>
        <x:v>258232.5</x:v>
      </x:c>
      <x:c r="G9" s="20" t="n">
        <x:f>'Monthly FP&amp;A'!G16</x:f>
        <x:v>268237.5</x:v>
      </x:c>
      <x:c r="H9" s="20" t="n">
        <x:f>'Monthly FP&amp;A'!H16</x:f>
        <x:v>278242.5</x:v>
      </x:c>
      <x:c r="I9" s="20" t="n">
        <x:f>'Monthly FP&amp;A'!I16</x:f>
        <x:v>288420</x:v>
      </x:c>
      <x:c r="J9" s="20" t="n">
        <x:f>'Monthly FP&amp;A'!J16</x:f>
        <x:v>298597.5</x:v>
      </x:c>
      <x:c r="K9" s="20" t="n">
        <x:f>'Monthly FP&amp;A'!K16</x:f>
        <x:v>308775</x:v>
      </x:c>
      <x:c r="L9" s="20" t="n">
        <x:f>'Monthly FP&amp;A'!L16</x:f>
        <x:v>319125</x:v>
      </x:c>
      <x:c r="M9" s="20" t="n">
        <x:f>'Monthly FP&amp;A'!M16</x:f>
        <x:v>329647.5</x:v>
      </x:c>
      <x:c r="N9" s="20" t="n">
        <x:f>'Monthly FP&amp;A'!N16</x:f>
        <x:v>353956.2</x:v>
      </x:c>
      <x:c r="O9" s="20" t="n">
        <x:f>'Monthly FP&amp;A'!O16</x:f>
        <x:v>365079</x:v>
      </x:c>
      <x:c r="P9" s="20" t="n">
        <x:f>'Monthly FP&amp;A'!P16</x:f>
        <x:v>376201.8</x:v>
      </x:c>
      <x:c r="Q9" s="20" t="n">
        <x:f>'Monthly FP&amp;A'!Q16</x:f>
        <x:v>387504</x:v>
      </x:c>
      <x:c r="R9" s="20" t="n">
        <x:f>'Monthly FP&amp;A'!R16</x:f>
        <x:v>398985.60000000003</x:v>
      </x:c>
      <x:c r="S9" s="20" t="n">
        <x:f>'Monthly FP&amp;A'!S16</x:f>
        <x:v>410646.60000000003</x:v>
      </x:c>
      <x:c r="T9" s="20" t="n">
        <x:f>'Monthly FP&amp;A'!T16</x:f>
        <x:v>422307.60000000003</x:v>
      </x:c>
      <x:c r="U9" s="20" t="n">
        <x:f>'Monthly FP&amp;A'!U16</x:f>
        <x:v>433968.60000000003</x:v>
      </x:c>
      <x:c r="V9" s="20" t="n">
        <x:f>'Monthly FP&amp;A'!V16</x:f>
        <x:v>445809</x:v>
      </x:c>
      <x:c r="W9" s="20" t="n">
        <x:f>'Monthly FP&amp;A'!W16</x:f>
        <x:v>457828.8</x:v>
      </x:c>
      <x:c r="X9" s="20" t="n">
        <x:f>'Monthly FP&amp;A'!X16</x:f>
        <x:v>470028</x:v>
      </x:c>
      <x:c r="Y9" s="20" t="n">
        <x:f>'Monthly FP&amp;A'!Y16</x:f>
        <x:v>482406.60000000003</x:v>
      </x:c>
    </x:row>
    <x:row r="10">
      <x:c r="A10" t="str">
        <x:v>ARR ($)</x:v>
      </x:c>
      <x:c r="B10" s="20" t="n">
        <x:f>'Monthly FP&amp;A'!B17</x:f>
        <x:v>2682720</x:v>
      </x:c>
      <x:c r="C10" s="20" t="n">
        <x:f>'Monthly FP&amp;A'!C17</x:f>
        <x:v>2802780</x:v>
      </x:c>
      <x:c r="D10" s="20" t="n">
        <x:f>'Monthly FP&amp;A'!D17</x:f>
        <x:v>2918700</x:v>
      </x:c>
      <x:c r="E10" s="20" t="n">
        <x:f>'Monthly FP&amp;A'!E17</x:f>
        <x:v>3038760</x:v>
      </x:c>
      <x:c r="F10" s="20" t="n">
        <x:f>'Monthly FP&amp;A'!F17</x:f>
        <x:v>3158820</x:v>
      </x:c>
      <x:c r="G10" s="20" t="n">
        <x:f>'Monthly FP&amp;A'!G17</x:f>
        <x:v>3278880</x:v>
      </x:c>
      <x:c r="H10" s="20" t="n">
        <x:f>'Monthly FP&amp;A'!H17</x:f>
        <x:v>3398940</x:v>
      </x:c>
      <x:c r="I10" s="20" t="n">
        <x:f>'Monthly FP&amp;A'!I17</x:f>
        <x:v>3523140</x:v>
      </x:c>
      <x:c r="J10" s="20" t="n">
        <x:f>'Monthly FP&amp;A'!J17</x:f>
        <x:v>3643200</x:v>
      </x:c>
      <x:c r="K10" s="20" t="n">
        <x:f>'Monthly FP&amp;A'!K17</x:f>
        <x:v>3767400</x:v>
      </x:c>
      <x:c r="L10" s="20" t="n">
        <x:f>'Monthly FP&amp;A'!L17</x:f>
        <x:v>3891600</x:v>
      </x:c>
      <x:c r="M10" s="20" t="n">
        <x:f>'Monthly FP&amp;A'!M17</x:f>
        <x:v>4019940</x:v>
      </x:c>
      <x:c r="N10" s="20" t="n">
        <x:f>'Monthly FP&amp;A'!N17</x:f>
        <x:v>4314211.2</x:v>
      </x:c>
      <x:c r="O10" s="20" t="n">
        <x:f>'Monthly FP&amp;A'!O17</x:f>
        <x:v>4447684.800000001</x:v>
      </x:c>
      <x:c r="P10" s="20" t="n">
        <x:f>'Monthly FP&amp;A'!P17</x:f>
        <x:v>4581158.4</x:v>
      </x:c>
      <x:c r="Q10" s="20" t="n">
        <x:f>'Monthly FP&amp;A'!Q17</x:f>
        <x:v>4718937.6</x:v>
      </x:c>
      <x:c r="R10" s="20" t="n">
        <x:f>'Monthly FP&amp;A'!R17</x:f>
        <x:v>4856716.800000001</x:v>
      </x:c>
      <x:c r="S10" s="20" t="n">
        <x:f>'Monthly FP&amp;A'!S17</x:f>
        <x:v>4998801.6</x:v>
      </x:c>
      <x:c r="T10" s="20" t="n">
        <x:f>'Monthly FP&amp;A'!T17</x:f>
        <x:v>5136580.800000001</x:v>
      </x:c>
      <x:c r="U10" s="20" t="n">
        <x:f>'Monthly FP&amp;A'!U17</x:f>
        <x:v>5278665.6</x:v>
      </x:c>
      <x:c r="V10" s="20" t="n">
        <x:f>'Monthly FP&amp;A'!V17</x:f>
        <x:v>5420750.4</x:v>
      </x:c>
      <x:c r="W10" s="20" t="n">
        <x:f>'Monthly FP&amp;A'!W17</x:f>
        <x:v>5567140.800000001</x:v>
      </x:c>
      <x:c r="X10" s="20" t="n">
        <x:f>'Monthly FP&amp;A'!X17</x:f>
        <x:v>5713531.2</x:v>
      </x:c>
      <x:c r="Y10" s="20" t="n">
        <x:f>'Monthly FP&amp;A'!Y17</x:f>
        <x:v>5864227.2</x:v>
      </x:c>
    </x:row>
    <x:row r="11">
      <x:c r="A11" t="str">
        <x:v>Customers</x:v>
      </x:c>
      <x:c r="B11" s="20" t="n">
        <x:f>'Monthly FP&amp;A'!B13</x:f>
        <x:v>648</x:v>
      </x:c>
      <x:c r="C11" s="20" t="n">
        <x:f>'Monthly FP&amp;A'!C13</x:f>
        <x:v>677</x:v>
      </x:c>
      <x:c r="D11" s="20" t="n">
        <x:f>'Monthly FP&amp;A'!D13</x:f>
        <x:v>705</x:v>
      </x:c>
      <x:c r="E11" s="20" t="n">
        <x:f>'Monthly FP&amp;A'!E13</x:f>
        <x:v>734</x:v>
      </x:c>
      <x:c r="F11" s="20" t="n">
        <x:f>'Monthly FP&amp;A'!F13</x:f>
        <x:v>763</x:v>
      </x:c>
      <x:c r="G11" s="20" t="n">
        <x:f>'Monthly FP&amp;A'!G13</x:f>
        <x:v>792</x:v>
      </x:c>
      <x:c r="H11" s="20" t="n">
        <x:f>'Monthly FP&amp;A'!H13</x:f>
        <x:v>821</x:v>
      </x:c>
      <x:c r="I11" s="20" t="n">
        <x:f>'Monthly FP&amp;A'!I13</x:f>
        <x:v>851</x:v>
      </x:c>
      <x:c r="J11" s="20" t="n">
        <x:f>'Monthly FP&amp;A'!J13</x:f>
        <x:v>880</x:v>
      </x:c>
      <x:c r="K11" s="20" t="n">
        <x:f>'Monthly FP&amp;A'!K13</x:f>
        <x:v>910</x:v>
      </x:c>
      <x:c r="L11" s="20" t="n">
        <x:f>'Monthly FP&amp;A'!L13</x:f>
        <x:v>940</x:v>
      </x:c>
      <x:c r="M11" s="20" t="n">
        <x:f>'Monthly FP&amp;A'!M13</x:f>
        <x:v>971</x:v>
      </x:c>
      <x:c r="N11" s="20" t="n">
        <x:f>'Monthly FP&amp;A'!N13</x:f>
        <x:v>1002</x:v>
      </x:c>
      <x:c r="O11" s="20" t="n">
        <x:f>'Monthly FP&amp;A'!O13</x:f>
        <x:v>1033</x:v>
      </x:c>
      <x:c r="P11" s="20" t="n">
        <x:f>'Monthly FP&amp;A'!P13</x:f>
        <x:v>1064</x:v>
      </x:c>
      <x:c r="Q11" s="20" t="n">
        <x:f>'Monthly FP&amp;A'!Q13</x:f>
        <x:v>1096</x:v>
      </x:c>
      <x:c r="R11" s="20" t="n">
        <x:f>'Monthly FP&amp;A'!R13</x:f>
        <x:v>1128</x:v>
      </x:c>
      <x:c r="S11" s="20" t="n">
        <x:f>'Monthly FP&amp;A'!S13</x:f>
        <x:v>1161</x:v>
      </x:c>
      <x:c r="T11" s="20" t="n">
        <x:f>'Monthly FP&amp;A'!T13</x:f>
        <x:v>1193</x:v>
      </x:c>
      <x:c r="U11" s="20" t="n">
        <x:f>'Monthly FP&amp;A'!U13</x:f>
        <x:v>1226</x:v>
      </x:c>
      <x:c r="V11" s="20" t="n">
        <x:f>'Monthly FP&amp;A'!V13</x:f>
        <x:v>1259</x:v>
      </x:c>
      <x:c r="W11" s="20" t="n">
        <x:f>'Monthly FP&amp;A'!W13</x:f>
        <x:v>1293</x:v>
      </x:c>
      <x:c r="X11" s="20" t="n">
        <x:f>'Monthly FP&amp;A'!X13</x:f>
        <x:v>1327</x:v>
      </x:c>
      <x:c r="Y11" s="20" t="n">
        <x:f>'Monthly FP&amp;A'!Y13</x:f>
        <x:v>1362</x:v>
      </x:c>
    </x:row>
    <x:row r="12">
      <x:c r="A12" t="str">
        <x:v>Logo churn (%)</x:v>
      </x:c>
      <x:c r="B12" s="22" t="n">
        <x:f>IFERROR('Monthly FP&amp;A'!B12/'Monthly FP&amp;A'!B10,0)</x:f>
        <x:v>0.016129032258064516</x:v>
      </x:c>
      <x:c r="C12" s="22" t="n">
        <x:f>IFERROR('Monthly FP&amp;A'!C12/'Monthly FP&amp;A'!C10,0)</x:f>
        <x:v>0.015432098765432098</x:v>
      </x:c>
      <x:c r="D12" s="22" t="n">
        <x:f>IFERROR('Monthly FP&amp;A'!D12/'Monthly FP&amp;A'!D10,0)</x:f>
        <x:v>0.01624815361890694</x:v>
      </x:c>
      <x:c r="E12" s="22" t="n">
        <x:f>IFERROR('Monthly FP&amp;A'!E12/'Monthly FP&amp;A'!E10,0)</x:f>
        <x:v>0.015602836879432624</x:v>
      </x:c>
      <x:c r="F12" s="22" t="n">
        <x:f>IFERROR('Monthly FP&amp;A'!F12/'Monthly FP&amp;A'!F10,0)</x:f>
        <x:v>0.01634877384196185</x:v>
      </x:c>
      <x:c r="G12" s="22" t="n">
        <x:f>IFERROR('Monthly FP&amp;A'!G12/'Monthly FP&amp;A'!G10,0)</x:f>
        <x:v>0.015727391874180863</x:v>
      </x:c>
      <x:c r="H12" s="22" t="n">
        <x:f>IFERROR('Monthly FP&amp;A'!H12/'Monthly FP&amp;A'!H10,0)</x:f>
        <x:v>0.016414141414141416</x:v>
      </x:c>
      <x:c r="I12" s="22" t="n">
        <x:f>IFERROR('Monthly FP&amp;A'!I12/'Monthly FP&amp;A'!I10,0)</x:f>
        <x:v>0.015834348355663823</x:v>
      </x:c>
      <x:c r="J12" s="22" t="n">
        <x:f>IFERROR('Monthly FP&amp;A'!J12/'Monthly FP&amp;A'!J10,0)</x:f>
        <x:v>0.01645123384253819</x:v>
      </x:c>
      <x:c r="K12" s="22" t="n">
        <x:f>IFERROR('Monthly FP&amp;A'!K12/'Monthly FP&amp;A'!K10,0)</x:f>
        <x:v>0.015909090909090907</x:v>
      </x:c>
      <x:c r="L12" s="22" t="n">
        <x:f>IFERROR('Monthly FP&amp;A'!L12/'Monthly FP&amp;A'!L10,0)</x:f>
        <x:v>0.016483516483516484</x:v>
      </x:c>
      <x:c r="M12" s="22" t="n">
        <x:f>IFERROR('Monthly FP&amp;A'!M12/'Monthly FP&amp;A'!M10,0)</x:f>
        <x:v>0.015957446808510637</x:v>
      </x:c>
      <x:c r="N12" s="22" t="n">
        <x:f>IFERROR('Monthly FP&amp;A'!N12/'Monthly FP&amp;A'!N10,0)</x:f>
        <x:v>0.016477857878475798</x:v>
      </x:c>
      <x:c r="O12" s="22" t="n">
        <x:f>IFERROR('Monthly FP&amp;A'!O12/'Monthly FP&amp;A'!O10,0)</x:f>
        <x:v>0.015968063872255488</x:v>
      </x:c>
      <x:c r="P12" s="22" t="n">
        <x:f>IFERROR('Monthly FP&amp;A'!P12/'Monthly FP&amp;A'!P10,0)</x:f>
        <x:v>0.016456921587608905</x:v>
      </x:c>
      <x:c r="Q12" s="22" t="n">
        <x:f>IFERROR('Monthly FP&amp;A'!Q12/'Monthly FP&amp;A'!Q10,0)</x:f>
        <x:v>0.015977443609022556</x:v>
      </x:c>
      <x:c r="R12" s="22" t="n">
        <x:f>IFERROR('Monthly FP&amp;A'!R12/'Monthly FP&amp;A'!R10,0)</x:f>
        <x:v>0.016423357664233577</x:v>
      </x:c>
      <x:c r="S12" s="22" t="n">
        <x:f>IFERROR('Monthly FP&amp;A'!S12/'Monthly FP&amp;A'!S10,0)</x:f>
        <x:v>0.015957446808510637</x:v>
      </x:c>
      <x:c r="T12" s="22" t="n">
        <x:f>IFERROR('Monthly FP&amp;A'!T12/'Monthly FP&amp;A'!T10,0)</x:f>
        <x:v>0.01636520241171404</x:v>
      </x:c>
      <x:c r="U12" s="22" t="n">
        <x:f>IFERROR('Monthly FP&amp;A'!U12/'Monthly FP&amp;A'!U10,0)</x:f>
        <x:v>0.01592623637887678</x:v>
      </x:c>
      <x:c r="V12" s="22" t="n">
        <x:f>IFERROR('Monthly FP&amp;A'!V12/'Monthly FP&amp;A'!V10,0)</x:f>
        <x:v>0.01631321370309951</x:v>
      </x:c>
      <x:c r="W12" s="22" t="n">
        <x:f>IFERROR('Monthly FP&amp;A'!W12/'Monthly FP&amp;A'!W10,0)</x:f>
        <x:v>0.015885623510722795</x:v>
      </x:c>
      <x:c r="X12" s="22" t="n">
        <x:f>IFERROR('Monthly FP&amp;A'!X12/'Monthly FP&amp;A'!X10,0)</x:f>
        <x:v>0.016241299303944315</x:v>
      </x:c>
      <x:c r="Y12" s="22" t="n">
        <x:f>IFERROR('Monthly FP&amp;A'!Y12/'Monthly FP&amp;A'!Y10,0)</x:f>
        <x:v>0.015825169555388093</x:v>
      </x:c>
    </x:row>
    <x:row r="13">
      <x:c r="A13" t="str">
        <x:v>Gross revenue retention (%)</x:v>
      </x:c>
      <x:c r="B13" s="22" t="n">
        <x:f>Assumptions!$B$30</x:f>
        <x:v>0.984</x:v>
      </x:c>
      <x:c r="C13" s="22" t="n">
        <x:f>Assumptions!$B$30</x:f>
        <x:v>0.984</x:v>
      </x:c>
      <x:c r="D13" s="22" t="n">
        <x:f>Assumptions!$B$30</x:f>
        <x:v>0.984</x:v>
      </x:c>
      <x:c r="E13" s="22" t="n">
        <x:f>Assumptions!$B$30</x:f>
        <x:v>0.984</x:v>
      </x:c>
      <x:c r="F13" s="22" t="n">
        <x:f>Assumptions!$B$30</x:f>
        <x:v>0.984</x:v>
      </x:c>
      <x:c r="G13" s="22" t="n">
        <x:f>Assumptions!$B$30</x:f>
        <x:v>0.984</x:v>
      </x:c>
      <x:c r="H13" s="22" t="n">
        <x:f>Assumptions!$B$30</x:f>
        <x:v>0.984</x:v>
      </x:c>
      <x:c r="I13" s="22" t="n">
        <x:f>Assumptions!$B$30</x:f>
        <x:v>0.984</x:v>
      </x:c>
      <x:c r="J13" s="22" t="n">
        <x:f>Assumptions!$B$30</x:f>
        <x:v>0.984</x:v>
      </x:c>
      <x:c r="K13" s="22" t="n">
        <x:f>Assumptions!$B$30</x:f>
        <x:v>0.984</x:v>
      </x:c>
      <x:c r="L13" s="22" t="n">
        <x:f>Assumptions!$B$30</x:f>
        <x:v>0.984</x:v>
      </x:c>
      <x:c r="M13" s="22" t="n">
        <x:f>Assumptions!$B$30</x:f>
        <x:v>0.984</x:v>
      </x:c>
      <x:c r="N13" s="22" t="n">
        <x:f>Assumptions!$B$30</x:f>
        <x:v>0.984</x:v>
      </x:c>
      <x:c r="O13" s="22" t="n">
        <x:f>Assumptions!$B$30</x:f>
        <x:v>0.984</x:v>
      </x:c>
      <x:c r="P13" s="22" t="n">
        <x:f>Assumptions!$B$30</x:f>
        <x:v>0.984</x:v>
      </x:c>
      <x:c r="Q13" s="22" t="n">
        <x:f>Assumptions!$B$30</x:f>
        <x:v>0.984</x:v>
      </x:c>
      <x:c r="R13" s="22" t="n">
        <x:f>Assumptions!$B$30</x:f>
        <x:v>0.984</x:v>
      </x:c>
      <x:c r="S13" s="22" t="n">
        <x:f>Assumptions!$B$30</x:f>
        <x:v>0.984</x:v>
      </x:c>
      <x:c r="T13" s="22" t="n">
        <x:f>Assumptions!$B$30</x:f>
        <x:v>0.984</x:v>
      </x:c>
      <x:c r="U13" s="22" t="n">
        <x:f>Assumptions!$B$30</x:f>
        <x:v>0.984</x:v>
      </x:c>
      <x:c r="V13" s="22" t="n">
        <x:f>Assumptions!$B$30</x:f>
        <x:v>0.984</x:v>
      </x:c>
      <x:c r="W13" s="22" t="n">
        <x:f>Assumptions!$B$30</x:f>
        <x:v>0.984</x:v>
      </x:c>
      <x:c r="X13" s="22" t="n">
        <x:f>Assumptions!$B$30</x:f>
        <x:v>0.984</x:v>
      </x:c>
      <x:c r="Y13" s="22" t="n">
        <x:f>Assumptions!$B$30</x:f>
        <x:v>0.984</x:v>
      </x:c>
    </x:row>
    <x:row r="14">
      <x:c r="A14" t="str">
        <x:v>Net revenue retention (proxy)</x:v>
      </x:c>
      <x:c r="B14" s="22" t="n">
        <x:f>Assumptions!$B$30</x:f>
        <x:v>0.984</x:v>
      </x:c>
      <x:c r="C14" s="22" t="n">
        <x:f>Assumptions!$B$30</x:f>
        <x:v>0.984</x:v>
      </x:c>
      <x:c r="D14" s="22" t="n">
        <x:f>Assumptions!$B$30</x:f>
        <x:v>0.984</x:v>
      </x:c>
      <x:c r="E14" s="22" t="n">
        <x:f>Assumptions!$B$30</x:f>
        <x:v>0.984</x:v>
      </x:c>
      <x:c r="F14" s="22" t="n">
        <x:f>Assumptions!$B$30</x:f>
        <x:v>0.984</x:v>
      </x:c>
      <x:c r="G14" s="22" t="n">
        <x:f>Assumptions!$B$30</x:f>
        <x:v>0.984</x:v>
      </x:c>
      <x:c r="H14" s="22" t="n">
        <x:f>Assumptions!$B$30</x:f>
        <x:v>0.984</x:v>
      </x:c>
      <x:c r="I14" s="22" t="n">
        <x:f>Assumptions!$B$30</x:f>
        <x:v>0.984</x:v>
      </x:c>
      <x:c r="J14" s="22" t="n">
        <x:f>Assumptions!$B$30</x:f>
        <x:v>0.984</x:v>
      </x:c>
      <x:c r="K14" s="22" t="n">
        <x:f>Assumptions!$B$30</x:f>
        <x:v>0.984</x:v>
      </x:c>
      <x:c r="L14" s="22" t="n">
        <x:f>Assumptions!$B$30</x:f>
        <x:v>0.984</x:v>
      </x:c>
      <x:c r="M14" s="22" t="n">
        <x:f>Assumptions!$B$30</x:f>
        <x:v>0.984</x:v>
      </x:c>
      <x:c r="N14" s="22" t="n">
        <x:f>Assumptions!$B$30</x:f>
        <x:v>0.984</x:v>
      </x:c>
      <x:c r="O14" s="22" t="n">
        <x:f>Assumptions!$B$30</x:f>
        <x:v>0.984</x:v>
      </x:c>
      <x:c r="P14" s="22" t="n">
        <x:f>Assumptions!$B$30</x:f>
        <x:v>0.984</x:v>
      </x:c>
      <x:c r="Q14" s="22" t="n">
        <x:f>Assumptions!$B$30</x:f>
        <x:v>0.984</x:v>
      </x:c>
      <x:c r="R14" s="22" t="n">
        <x:f>Assumptions!$B$30</x:f>
        <x:v>0.984</x:v>
      </x:c>
      <x:c r="S14" s="22" t="n">
        <x:f>Assumptions!$B$30</x:f>
        <x:v>0.984</x:v>
      </x:c>
      <x:c r="T14" s="22" t="n">
        <x:f>Assumptions!$B$30</x:f>
        <x:v>0.984</x:v>
      </x:c>
      <x:c r="U14" s="22" t="n">
        <x:f>Assumptions!$B$30</x:f>
        <x:v>0.984</x:v>
      </x:c>
      <x:c r="V14" s="22" t="n">
        <x:f>Assumptions!$B$30</x:f>
        <x:v>0.984</x:v>
      </x:c>
      <x:c r="W14" s="22" t="n">
        <x:f>Assumptions!$B$30</x:f>
        <x:v>0.984</x:v>
      </x:c>
      <x:c r="X14" s="22" t="n">
        <x:f>Assumptions!$B$30</x:f>
        <x:v>0.984</x:v>
      </x:c>
      <x:c r="Y14" s="22" t="n">
        <x:f>Assumptions!$B$30</x:f>
        <x:v>0.984</x:v>
      </x:c>
    </x:row>
    <x:row r="15">
      <x:c r="A15" t="str">
        <x:v>CAC ($)</x:v>
      </x:c>
      <x:c r="B15" s="20" t="n">
        <x:f>Assumptions!$B$29</x:f>
        <x:v>1800</x:v>
      </x:c>
      <x:c r="C15" s="20" t="n">
        <x:f>Assumptions!$B$29</x:f>
        <x:v>1800</x:v>
      </x:c>
      <x:c r="D15" s="20" t="n">
        <x:f>Assumptions!$B$29</x:f>
        <x:v>1800</x:v>
      </x:c>
      <x:c r="E15" s="20" t="n">
        <x:f>Assumptions!$B$29</x:f>
        <x:v>1800</x:v>
      </x:c>
      <x:c r="F15" s="20" t="n">
        <x:f>Assumptions!$B$29</x:f>
        <x:v>1800</x:v>
      </x:c>
      <x:c r="G15" s="20" t="n">
        <x:f>Assumptions!$B$29</x:f>
        <x:v>1800</x:v>
      </x:c>
      <x:c r="H15" s="20" t="n">
        <x:f>Assumptions!$B$29</x:f>
        <x:v>1800</x:v>
      </x:c>
      <x:c r="I15" s="20" t="n">
        <x:f>Assumptions!$B$29</x:f>
        <x:v>1800</x:v>
      </x:c>
      <x:c r="J15" s="20" t="n">
        <x:f>Assumptions!$B$29</x:f>
        <x:v>1800</x:v>
      </x:c>
      <x:c r="K15" s="20" t="n">
        <x:f>Assumptions!$B$29</x:f>
        <x:v>1800</x:v>
      </x:c>
      <x:c r="L15" s="20" t="n">
        <x:f>Assumptions!$B$29</x:f>
        <x:v>1800</x:v>
      </x:c>
      <x:c r="M15" s="20" t="n">
        <x:f>Assumptions!$B$29</x:f>
        <x:v>1800</x:v>
      </x:c>
      <x:c r="N15" s="20" t="n">
        <x:f>Assumptions!$B$29</x:f>
        <x:v>1800</x:v>
      </x:c>
      <x:c r="O15" s="20" t="n">
        <x:f>Assumptions!$B$29</x:f>
        <x:v>1800</x:v>
      </x:c>
      <x:c r="P15" s="20" t="n">
        <x:f>Assumptions!$B$29</x:f>
        <x:v>1800</x:v>
      </x:c>
      <x:c r="Q15" s="20" t="n">
        <x:f>Assumptions!$B$29</x:f>
        <x:v>1800</x:v>
      </x:c>
      <x:c r="R15" s="20" t="n">
        <x:f>Assumptions!$B$29</x:f>
        <x:v>1800</x:v>
      </x:c>
      <x:c r="S15" s="20" t="n">
        <x:f>Assumptions!$B$29</x:f>
        <x:v>1800</x:v>
      </x:c>
      <x:c r="T15" s="20" t="n">
        <x:f>Assumptions!$B$29</x:f>
        <x:v>1800</x:v>
      </x:c>
      <x:c r="U15" s="20" t="n">
        <x:f>Assumptions!$B$29</x:f>
        <x:v>1800</x:v>
      </x:c>
      <x:c r="V15" s="20" t="n">
        <x:f>Assumptions!$B$29</x:f>
        <x:v>1800</x:v>
      </x:c>
      <x:c r="W15" s="20" t="n">
        <x:f>Assumptions!$B$29</x:f>
        <x:v>1800</x:v>
      </x:c>
      <x:c r="X15" s="20" t="n">
        <x:f>Assumptions!$B$29</x:f>
        <x:v>1800</x:v>
      </x:c>
      <x:c r="Y15" s="20" t="n">
        <x:f>Assumptions!$B$29</x:f>
        <x:v>1800</x:v>
      </x:c>
    </x:row>
    <x:row r="16">
      <x:c r="A16" t="str">
        <x:v>LTV ($)</x:v>
      </x:c>
      <x:c r="B16" s="20" t="n">
        <x:f>IFERROR('Monthly FP&amp;A'!B15*'Monthly FP&amp;A'!B21/Assumptions!$B$9,0)</x:f>
        <x:v>17681.25</x:v>
      </x:c>
      <x:c r="C16" s="20" t="n">
        <x:f>IFERROR('Monthly FP&amp;A'!C15*'Monthly FP&amp;A'!C21/Assumptions!$B$9,0)</x:f>
        <x:v>17681.25</x:v>
      </x:c>
      <x:c r="D16" s="20" t="n">
        <x:f>IFERROR('Monthly FP&amp;A'!D15*'Monthly FP&amp;A'!D21/Assumptions!$B$9,0)</x:f>
        <x:v>17681.25</x:v>
      </x:c>
      <x:c r="E16" s="20" t="n">
        <x:f>IFERROR('Monthly FP&amp;A'!E15*'Monthly FP&amp;A'!E21/Assumptions!$B$9,0)</x:f>
        <x:v>17681.25</x:v>
      </x:c>
      <x:c r="F16" s="20" t="n">
        <x:f>IFERROR('Monthly FP&amp;A'!F15*'Monthly FP&amp;A'!F21/Assumptions!$B$9,0)</x:f>
        <x:v>17681.25</x:v>
      </x:c>
      <x:c r="G16" s="20" t="n">
        <x:f>IFERROR('Monthly FP&amp;A'!G15*'Monthly FP&amp;A'!G21/Assumptions!$B$9,0)</x:f>
        <x:v>17681.25</x:v>
      </x:c>
      <x:c r="H16" s="20" t="n">
        <x:f>IFERROR('Monthly FP&amp;A'!H15*'Monthly FP&amp;A'!H21/Assumptions!$B$9,0)</x:f>
        <x:v>17681.25</x:v>
      </x:c>
      <x:c r="I16" s="20" t="n">
        <x:f>IFERROR('Monthly FP&amp;A'!I15*'Monthly FP&amp;A'!I21/Assumptions!$B$9,0)</x:f>
        <x:v>17681.25</x:v>
      </x:c>
      <x:c r="J16" s="20" t="n">
        <x:f>IFERROR('Monthly FP&amp;A'!J15*'Monthly FP&amp;A'!J21/Assumptions!$B$9,0)</x:f>
        <x:v>17681.25</x:v>
      </x:c>
      <x:c r="K16" s="20" t="n">
        <x:f>IFERROR('Monthly FP&amp;A'!K15*'Monthly FP&amp;A'!K21/Assumptions!$B$9,0)</x:f>
        <x:v>17681.25</x:v>
      </x:c>
      <x:c r="L16" s="20" t="n">
        <x:f>IFERROR('Monthly FP&amp;A'!L15*'Monthly FP&amp;A'!L21/Assumptions!$B$9,0)</x:f>
        <x:v>17681.25</x:v>
      </x:c>
      <x:c r="M16" s="20" t="n">
        <x:f>IFERROR('Monthly FP&amp;A'!M15*'Monthly FP&amp;A'!M21/Assumptions!$B$9,0)</x:f>
        <x:v>17681.25</x:v>
      </x:c>
      <x:c r="N16" s="20" t="n">
        <x:f>IFERROR('Monthly FP&amp;A'!N15*'Monthly FP&amp;A'!N21/Assumptions!$B$9,0)</x:f>
        <x:v>18388.5</x:v>
      </x:c>
      <x:c r="O16" s="20" t="n">
        <x:f>IFERROR('Monthly FP&amp;A'!O15*'Monthly FP&amp;A'!O21/Assumptions!$B$9,0)</x:f>
        <x:v>18388.5</x:v>
      </x:c>
      <x:c r="P16" s="20" t="n">
        <x:f>IFERROR('Monthly FP&amp;A'!P15*'Monthly FP&amp;A'!P21/Assumptions!$B$9,0)</x:f>
        <x:v>18388.5</x:v>
      </x:c>
      <x:c r="Q16" s="20" t="n">
        <x:f>IFERROR('Monthly FP&amp;A'!Q15*'Monthly FP&amp;A'!Q21/Assumptions!$B$9,0)</x:f>
        <x:v>18388.5</x:v>
      </x:c>
      <x:c r="R16" s="20" t="n">
        <x:f>IFERROR('Monthly FP&amp;A'!R15*'Monthly FP&amp;A'!R21/Assumptions!$B$9,0)</x:f>
        <x:v>18388.5</x:v>
      </x:c>
      <x:c r="S16" s="20" t="n">
        <x:f>IFERROR('Monthly FP&amp;A'!S15*'Monthly FP&amp;A'!S21/Assumptions!$B$9,0)</x:f>
        <x:v>18388.5</x:v>
      </x:c>
      <x:c r="T16" s="20" t="n">
        <x:f>IFERROR('Monthly FP&amp;A'!T15*'Monthly FP&amp;A'!T21/Assumptions!$B$9,0)</x:f>
        <x:v>18388.5</x:v>
      </x:c>
      <x:c r="U16" s="20" t="n">
        <x:f>IFERROR('Monthly FP&amp;A'!U15*'Monthly FP&amp;A'!U21/Assumptions!$B$9,0)</x:f>
        <x:v>18388.5</x:v>
      </x:c>
      <x:c r="V16" s="20" t="n">
        <x:f>IFERROR('Monthly FP&amp;A'!V15*'Monthly FP&amp;A'!V21/Assumptions!$B$9,0)</x:f>
        <x:v>18388.5</x:v>
      </x:c>
      <x:c r="W16" s="20" t="n">
        <x:f>IFERROR('Monthly FP&amp;A'!W15*'Monthly FP&amp;A'!W21/Assumptions!$B$9,0)</x:f>
        <x:v>18388.5</x:v>
      </x:c>
      <x:c r="X16" s="20" t="n">
        <x:f>IFERROR('Monthly FP&amp;A'!X15*'Monthly FP&amp;A'!X21/Assumptions!$B$9,0)</x:f>
        <x:v>18388.5</x:v>
      </x:c>
      <x:c r="Y16" s="20" t="n">
        <x:f>IFERROR('Monthly FP&amp;A'!Y15*'Monthly FP&amp;A'!Y21/Assumptions!$B$9,0)</x:f>
        <x:v>18388.5</x:v>
      </x:c>
    </x:row>
    <x:row r="17">
      <x:c r="A17" t="str">
        <x:v>LTV / CAC (x)</x:v>
      </x:c>
      <x:c r="B17" s="20" t="n">
        <x:f>IFERROR(B16/B15,0)</x:f>
        <x:v>9.822916666666666</x:v>
      </x:c>
      <x:c r="C17" s="20" t="n">
        <x:f>IFERROR(C16/C15,0)</x:f>
        <x:v>9.822916666666666</x:v>
      </x:c>
      <x:c r="D17" s="20" t="n">
        <x:f>IFERROR(D16/D15,0)</x:f>
        <x:v>9.822916666666666</x:v>
      </x:c>
      <x:c r="E17" s="20" t="n">
        <x:f>IFERROR(E16/E15,0)</x:f>
        <x:v>9.822916666666666</x:v>
      </x:c>
      <x:c r="F17" s="20" t="n">
        <x:f>IFERROR(F16/F15,0)</x:f>
        <x:v>9.822916666666666</x:v>
      </x:c>
      <x:c r="G17" s="20" t="n">
        <x:f>IFERROR(G16/G15,0)</x:f>
        <x:v>9.822916666666666</x:v>
      </x:c>
      <x:c r="H17" s="20" t="n">
        <x:f>IFERROR(H16/H15,0)</x:f>
        <x:v>9.822916666666666</x:v>
      </x:c>
      <x:c r="I17" s="20" t="n">
        <x:f>IFERROR(I16/I15,0)</x:f>
        <x:v>9.822916666666666</x:v>
      </x:c>
      <x:c r="J17" s="20" t="n">
        <x:f>IFERROR(J16/J15,0)</x:f>
        <x:v>9.822916666666666</x:v>
      </x:c>
      <x:c r="K17" s="20" t="n">
        <x:f>IFERROR(K16/K15,0)</x:f>
        <x:v>9.822916666666666</x:v>
      </x:c>
      <x:c r="L17" s="20" t="n">
        <x:f>IFERROR(L16/L15,0)</x:f>
        <x:v>9.822916666666666</x:v>
      </x:c>
      <x:c r="M17" s="20" t="n">
        <x:f>IFERROR(M16/M15,0)</x:f>
        <x:v>9.822916666666666</x:v>
      </x:c>
      <x:c r="N17" s="20" t="n">
        <x:f>IFERROR(N16/N15,0)</x:f>
        <x:v>10.215833333333334</x:v>
      </x:c>
      <x:c r="O17" s="20" t="n">
        <x:f>IFERROR(O16/O15,0)</x:f>
        <x:v>10.215833333333334</x:v>
      </x:c>
      <x:c r="P17" s="20" t="n">
        <x:f>IFERROR(P16/P15,0)</x:f>
        <x:v>10.215833333333334</x:v>
      </x:c>
      <x:c r="Q17" s="20" t="n">
        <x:f>IFERROR(Q16/Q15,0)</x:f>
        <x:v>10.215833333333334</x:v>
      </x:c>
      <x:c r="R17" s="20" t="n">
        <x:f>IFERROR(R16/R15,0)</x:f>
        <x:v>10.215833333333334</x:v>
      </x:c>
      <x:c r="S17" s="20" t="n">
        <x:f>IFERROR(S16/S15,0)</x:f>
        <x:v>10.215833333333334</x:v>
      </x:c>
      <x:c r="T17" s="20" t="n">
        <x:f>IFERROR(T16/T15,0)</x:f>
        <x:v>10.215833333333334</x:v>
      </x:c>
      <x:c r="U17" s="20" t="n">
        <x:f>IFERROR(U16/U15,0)</x:f>
        <x:v>10.215833333333334</x:v>
      </x:c>
      <x:c r="V17" s="20" t="n">
        <x:f>IFERROR(V16/V15,0)</x:f>
        <x:v>10.215833333333334</x:v>
      </x:c>
      <x:c r="W17" s="20" t="n">
        <x:f>IFERROR(W16/W15,0)</x:f>
        <x:v>10.215833333333334</x:v>
      </x:c>
      <x:c r="X17" s="20" t="n">
        <x:f>IFERROR(X16/X15,0)</x:f>
        <x:v>10.215833333333334</x:v>
      </x:c>
      <x:c r="Y17" s="20" t="n">
        <x:f>IFERROR(Y16/Y15,0)</x:f>
        <x:v>10.215833333333334</x:v>
      </x:c>
    </x:row>
    <x:row r="18">
      <x:c r="A18" t="str">
        <x:v>CAC payback (months)</x:v>
      </x:c>
      <x:c r="B18" s="20" t="n">
        <x:f>IFERROR(B15/('Monthly FP&amp;A'!B15*'Monthly FP&amp;A'!B21),0)</x:f>
        <x:v>6.3626723223753965</x:v>
      </x:c>
      <x:c r="C18" s="20" t="n">
        <x:f>IFERROR(C15/('Monthly FP&amp;A'!C15*'Monthly FP&amp;A'!C21),0)</x:f>
        <x:v>6.362672322375398</x:v>
      </x:c>
      <x:c r="D18" s="20" t="n">
        <x:f>IFERROR(D15/('Monthly FP&amp;A'!D15*'Monthly FP&amp;A'!D21),0)</x:f>
        <x:v>6.362672322375398</x:v>
      </x:c>
      <x:c r="E18" s="20" t="n">
        <x:f>IFERROR(E15/('Monthly FP&amp;A'!E15*'Monthly FP&amp;A'!E21),0)</x:f>
        <x:v>6.362672322375398</x:v>
      </x:c>
      <x:c r="F18" s="20" t="n">
        <x:f>IFERROR(F15/('Monthly FP&amp;A'!F15*'Monthly FP&amp;A'!F21),0)</x:f>
        <x:v>6.362672322375398</x:v>
      </x:c>
      <x:c r="G18" s="20" t="n">
        <x:f>IFERROR(G15/('Monthly FP&amp;A'!G15*'Monthly FP&amp;A'!G21),0)</x:f>
        <x:v>6.362672322375398</x:v>
      </x:c>
      <x:c r="H18" s="20" t="n">
        <x:f>IFERROR(H15/('Monthly FP&amp;A'!H15*'Monthly FP&amp;A'!H21),0)</x:f>
        <x:v>6.3626723223753965</x:v>
      </x:c>
      <x:c r="I18" s="20" t="n">
        <x:f>IFERROR(I15/('Monthly FP&amp;A'!I15*'Monthly FP&amp;A'!I21),0)</x:f>
        <x:v>6.362672322375398</x:v>
      </x:c>
      <x:c r="J18" s="20" t="n">
        <x:f>IFERROR(J15/('Monthly FP&amp;A'!J15*'Monthly FP&amp;A'!J21),0)</x:f>
        <x:v>6.3626723223753965</x:v>
      </x:c>
      <x:c r="K18" s="20" t="n">
        <x:f>IFERROR(K15/('Monthly FP&amp;A'!K15*'Monthly FP&amp;A'!K21),0)</x:f>
        <x:v>6.362672322375398</x:v>
      </x:c>
      <x:c r="L18" s="20" t="n">
        <x:f>IFERROR(L15/('Monthly FP&amp;A'!L15*'Monthly FP&amp;A'!L21),0)</x:f>
        <x:v>6.362672322375398</x:v>
      </x:c>
      <x:c r="M18" s="20" t="n">
        <x:f>IFERROR(M15/('Monthly FP&amp;A'!M15*'Monthly FP&amp;A'!M21),0)</x:f>
        <x:v>6.3626723223753965</x:v>
      </x:c>
      <x:c r="N18" s="20" t="n">
        <x:f>IFERROR(N15/('Monthly FP&amp;A'!N15*'Monthly FP&amp;A'!N21),0)</x:f>
        <x:v>6.11795415613019</x:v>
      </x:c>
      <x:c r="O18" s="20" t="n">
        <x:f>IFERROR(O15/('Monthly FP&amp;A'!O15*'Monthly FP&amp;A'!O21),0)</x:f>
        <x:v>6.11795415613019</x:v>
      </x:c>
      <x:c r="P18" s="20" t="n">
        <x:f>IFERROR(P15/('Monthly FP&amp;A'!P15*'Monthly FP&amp;A'!P21),0)</x:f>
        <x:v>6.11795415613019</x:v>
      </x:c>
      <x:c r="Q18" s="20" t="n">
        <x:f>IFERROR(Q15/('Monthly FP&amp;A'!Q15*'Monthly FP&amp;A'!Q21),0)</x:f>
        <x:v>6.11795415613019</x:v>
      </x:c>
      <x:c r="R18" s="20" t="n">
        <x:f>IFERROR(R15/('Monthly FP&amp;A'!R15*'Monthly FP&amp;A'!R21),0)</x:f>
        <x:v>6.11795415613019</x:v>
      </x:c>
      <x:c r="S18" s="20" t="n">
        <x:f>IFERROR(S15/('Monthly FP&amp;A'!S15*'Monthly FP&amp;A'!S21),0)</x:f>
        <x:v>6.11795415613019</x:v>
      </x:c>
      <x:c r="T18" s="20" t="n">
        <x:f>IFERROR(T15/('Monthly FP&amp;A'!T15*'Monthly FP&amp;A'!T21),0)</x:f>
        <x:v>6.11795415613019</x:v>
      </x:c>
      <x:c r="U18" s="20" t="n">
        <x:f>IFERROR(U15/('Monthly FP&amp;A'!U15*'Monthly FP&amp;A'!U21),0)</x:f>
        <x:v>6.11795415613019</x:v>
      </x:c>
      <x:c r="V18" s="20" t="n">
        <x:f>IFERROR(V15/('Monthly FP&amp;A'!V15*'Monthly FP&amp;A'!V21),0)</x:f>
        <x:v>6.11795415613019</x:v>
      </x:c>
      <x:c r="W18" s="20" t="n">
        <x:f>IFERROR(W15/('Monthly FP&amp;A'!W15*'Monthly FP&amp;A'!W21),0)</x:f>
        <x:v>6.11795415613019</x:v>
      </x:c>
      <x:c r="X18" s="20" t="n">
        <x:f>IFERROR(X15/('Monthly FP&amp;A'!X15*'Monthly FP&amp;A'!X21),0)</x:f>
        <x:v>6.11795415613019</x:v>
      </x:c>
      <x:c r="Y18" s="20" t="n">
        <x:f>IFERROR(Y15/('Monthly FP&amp;A'!Y15*'Monthly FP&amp;A'!Y21),0)</x:f>
        <x:v>6.11795415613019</x:v>
      </x:c>
    </x:row>
    <x:row r="19">
      <x:c r="A19" t="str">
        <x:v>Gross margin (%)</x:v>
      </x:c>
      <x:c r="B19" s="22" t="n">
        <x:f>'Monthly FP&amp;A'!B21</x:f>
        <x:v>0.8200000000000001</x:v>
      </x:c>
      <x:c r="C19" s="22" t="n">
        <x:f>'Monthly FP&amp;A'!C21</x:f>
        <x:v>0.82</x:v>
      </x:c>
      <x:c r="D19" s="22" t="n">
        <x:f>'Monthly FP&amp;A'!D21</x:f>
        <x:v>0.82</x:v>
      </x:c>
      <x:c r="E19" s="22" t="n">
        <x:f>'Monthly FP&amp;A'!E21</x:f>
        <x:v>0.82</x:v>
      </x:c>
      <x:c r="F19" s="22" t="n">
        <x:f>'Monthly FP&amp;A'!F21</x:f>
        <x:v>0.82</x:v>
      </x:c>
      <x:c r="G19" s="22" t="n">
        <x:f>'Monthly FP&amp;A'!G21</x:f>
        <x:v>0.82</x:v>
      </x:c>
      <x:c r="H19" s="22" t="n">
        <x:f>'Monthly FP&amp;A'!H21</x:f>
        <x:v>0.8200000000000001</x:v>
      </x:c>
      <x:c r="I19" s="22" t="n">
        <x:f>'Monthly FP&amp;A'!I21</x:f>
        <x:v>0.82</x:v>
      </x:c>
      <x:c r="J19" s="22" t="n">
        <x:f>'Monthly FP&amp;A'!J21</x:f>
        <x:v>0.8200000000000001</x:v>
      </x:c>
      <x:c r="K19" s="22" t="n">
        <x:f>'Monthly FP&amp;A'!K21</x:f>
        <x:v>0.82</x:v>
      </x:c>
      <x:c r="L19" s="22" t="n">
        <x:f>'Monthly FP&amp;A'!L21</x:f>
        <x:v>0.82</x:v>
      </x:c>
      <x:c r="M19" s="22" t="n">
        <x:f>'Monthly FP&amp;A'!M21</x:f>
        <x:v>0.8200000000000001</x:v>
      </x:c>
      <x:c r="N19" s="22" t="n">
        <x:f>'Monthly FP&amp;A'!N21</x:f>
        <x:v>0.8200000000000001</x:v>
      </x:c>
      <x:c r="O19" s="22" t="n">
        <x:f>'Monthly FP&amp;A'!O21</x:f>
        <x:v>0.8200000000000001</x:v>
      </x:c>
      <x:c r="P19" s="22" t="n">
        <x:f>'Monthly FP&amp;A'!P21</x:f>
        <x:v>0.8200000000000001</x:v>
      </x:c>
      <x:c r="Q19" s="22" t="n">
        <x:f>'Monthly FP&amp;A'!Q21</x:f>
        <x:v>0.8200000000000001</x:v>
      </x:c>
      <x:c r="R19" s="22" t="n">
        <x:f>'Monthly FP&amp;A'!R21</x:f>
        <x:v>0.8200000000000001</x:v>
      </x:c>
      <x:c r="S19" s="22" t="n">
        <x:f>'Monthly FP&amp;A'!S21</x:f>
        <x:v>0.8200000000000001</x:v>
      </x:c>
      <x:c r="T19" s="22" t="n">
        <x:f>'Monthly FP&amp;A'!T21</x:f>
        <x:v>0.82</x:v>
      </x:c>
      <x:c r="U19" s="22" t="n">
        <x:f>'Monthly FP&amp;A'!U21</x:f>
        <x:v>0.8200000000000001</x:v>
      </x:c>
      <x:c r="V19" s="22" t="n">
        <x:f>'Monthly FP&amp;A'!V21</x:f>
        <x:v>0.8200000000000001</x:v>
      </x:c>
      <x:c r="W19" s="22" t="n">
        <x:f>'Monthly FP&amp;A'!W21</x:f>
        <x:v>0.82</x:v>
      </x:c>
      <x:c r="X19" s="22" t="n">
        <x:f>'Monthly FP&amp;A'!X21</x:f>
        <x:v>0.8200000000000001</x:v>
      </x:c>
      <x:c r="Y19" s="22" t="n">
        <x:f>'Monthly FP&amp;A'!Y21</x:f>
        <x:v>0.82</x:v>
      </x:c>
    </x:row>
    <x:row r="20">
      <x:c r="A20" t="str">
        <x:v>Rule of 40 (%)</x:v>
      </x:c>
      <x:c r="B20" s="22" t="n">
        <x:f>'Monthly FP&amp;A'!B43</x:f>
        <x:v>-1.7795300141727242</x:v>
      </x:c>
      <x:c r="C20" s="22" t="n">
        <x:f>'Monthly FP&amp;A'!C43</x:f>
        <x:v>-1.6780257041290676</x:v>
      </x:c>
      <x:c r="D20" s="22" t="n">
        <x:f>'Monthly FP&amp;A'!D43</x:f>
        <x:v>-1.5848943979529773</x:v>
      </x:c>
      <x:c r="E20" s="22" t="n">
        <x:f>'Monthly FP&amp;A'!E43</x:f>
        <x:v>-1.5740723731254596</x:v>
      </x:c>
      <x:c r="F20" s="22" t="n">
        <x:f>'Monthly FP&amp;A'!F43</x:f>
        <x:v>-1.4906146592702314</x:v>
      </x:c>
      <x:c r="G20" s="22" t="n">
        <x:f>'Monthly FP&amp;A'!G43</x:f>
        <x:v>-1.4133827298569366</x:v>
      </x:c>
      <x:c r="H20" s="22" t="n">
        <x:f>'Monthly FP&amp;A'!H43</x:f>
        <x:v>-1.4085531505790811</x:v>
      </x:c>
      <x:c r="I20" s="22" t="n">
        <x:f>'Monthly FP&amp;A'!I43</x:f>
        <x:v>-1.3383829138062548</x:v>
      </x:c>
      <x:c r="J20" s="22" t="n">
        <x:f>'Monthly FP&amp;A'!J43</x:f>
        <x:v>-1.2729960900543373</x:v>
      </x:c>
      <x:c r="K20" s="22" t="n">
        <x:f>'Monthly FP&amp;A'!K43</x:f>
        <x:v>-1.2721577200226701</x:v>
      </x:c>
      <x:c r="L20" s="22" t="n">
        <x:f>'Monthly FP&amp;A'!L43</x:f>
        <x:v>-1.2120877399138268</x:v>
      </x:c>
      <x:c r="M20" s="22" t="n">
        <x:f>'Monthly FP&amp;A'!M43</x:f>
        <x:v>-1.154883474013909</x:v>
      </x:c>
      <x:c r="N20" s="22" t="n">
        <x:f>'Monthly FP&amp;A'!N43</x:f>
        <x:v>-0.5367834929876378</x:v>
      </x:c>
      <x:c r="O20" s="22" t="n">
        <x:f>'Monthly FP&amp;A'!O43</x:f>
        <x:v>-0.5048734458972357</x:v>
      </x:c>
      <x:c r="P20" s="22" t="n">
        <x:f>'Monthly FP&amp;A'!P43</x:f>
        <x:v>-0.47436096663885285</x:v>
      </x:c>
      <x:c r="Q20" s="22" t="n">
        <x:f>'Monthly FP&amp;A'!Q43</x:f>
        <x:v>-0.4936448456594289</x:v>
      </x:c>
      <x:c r="R20" s="22" t="n">
        <x:f>'Monthly FP&amp;A'!R43</x:f>
        <x:v>-0.46262291238717634</x:v>
      </x:c>
      <x:c r="S20" s="22" t="n">
        <x:f>'Monthly FP&amp;A'!S43</x:f>
        <x:v>-0.43169459872587423</x:v>
      </x:c>
      <x:c r="T20" s="22" t="n">
        <x:f>'Monthly FP&amp;A'!T43</x:f>
        <x:v>-0.4480434972308319</x:v>
      </x:c>
      <x:c r="U20" s="22" t="n">
        <x:f>'Monthly FP&amp;A'!U43</x:f>
        <x:v>-0.41963358491570957</x:v>
      </x:c>
      <x:c r="V20" s="22" t="n">
        <x:f>'Monthly FP&amp;A'!V43</x:f>
        <x:v>-0.3913123439605304</x:v>
      </x:c>
      <x:c r="W20" s="22" t="n">
        <x:f>'Monthly FP&amp;A'!W43</x:f>
        <x:v>-0.4054033145946073</x:v>
      </x:c>
      <x:c r="X20" s="22" t="n">
        <x:f>'Monthly FP&amp;A'!X43</x:f>
        <x:v>-0.377160580427756</x:v>
      </x:c>
      <x:c r="Y20" s="22" t="n">
        <x:f>'Monthly FP&amp;A'!Y43</x:f>
        <x:v>-0.3499294935527204</x:v>
      </x:c>
    </x:row>
  </x:sheetData>
  <x:mergeCells>
    <x:mergeCell ref="A1:P2"/>
    <x:mergeCell ref="A3:P3"/>
    <x:mergeCell ref="A5:P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3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5" customHeight="1">
      <x:c r="A1" s="3" t="str">
        <x:v>BUDGET VS ACTUAL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2" customHeight="1">
      <x:c r="A3" s="7" t="str">
        <x:v>SYNTHETIC SAAS CASE STUDY  •  USD  •  FY2026 ILLUSTRATIVE ACTUALS / FY2027 PLAN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5" ht="23" customHeight="1">
      <x:c r="A5" s="10" t="str">
        <x:v>MONTHLY FY2026 ACTUALS VS ILLUSTRATIVE BUDGET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7">
      <x:c r="A7" t="str">
        <x:v>Month</x:v>
      </x:c>
      <x:c r="B7" t="str">
        <x:f>'Monthly FP&amp;A'!B7</x:f>
        <x:v>2026-01</x:v>
      </x:c>
      <x:c r="C7" t="str">
        <x:f>'Monthly FP&amp;A'!C7</x:f>
        <x:v>2026-02</x:v>
      </x:c>
      <x:c r="D7" t="str">
        <x:f>'Monthly FP&amp;A'!D7</x:f>
        <x:v>2026-03</x:v>
      </x:c>
      <x:c r="E7" t="str">
        <x:f>'Monthly FP&amp;A'!E7</x:f>
        <x:v>2026-04</x:v>
      </x:c>
      <x:c r="F7" t="str">
        <x:f>'Monthly FP&amp;A'!F7</x:f>
        <x:v>2026-05</x:v>
      </x:c>
      <x:c r="G7" t="str">
        <x:f>'Monthly FP&amp;A'!G7</x:f>
        <x:v>2026-06</x:v>
      </x:c>
      <x:c r="H7" t="str">
        <x:f>'Monthly FP&amp;A'!H7</x:f>
        <x:v>2026-07</x:v>
      </x:c>
      <x:c r="I7" t="str">
        <x:f>'Monthly FP&amp;A'!I7</x:f>
        <x:v>2026-08</x:v>
      </x:c>
      <x:c r="J7" t="str">
        <x:f>'Monthly FP&amp;A'!J7</x:f>
        <x:v>2026-09</x:v>
      </x:c>
      <x:c r="K7" t="str">
        <x:f>'Monthly FP&amp;A'!K7</x:f>
        <x:v>2026-10</x:v>
      </x:c>
      <x:c r="L7" t="str">
        <x:f>'Monthly FP&amp;A'!L7</x:f>
        <x:v>2026-11</x:v>
      </x:c>
      <x:c r="M7" t="str">
        <x:f>'Monthly FP&amp;A'!M7</x:f>
        <x:v>2026-12</x:v>
      </x:c>
    </x:row>
    <x:row r="9">
      <x:c r="A9" t="str">
        <x:v>Actual revenue</x:v>
      </x:c>
      <x:c r="B9" t="n">
        <x:f>'Monthly FP&amp;A'!B16</x:f>
        <x:v>218730</x:v>
      </x:c>
      <x:c r="C9" t="n">
        <x:f>'Monthly FP&amp;A'!C16</x:f>
        <x:v>228562.5</x:v>
      </x:c>
      <x:c r="D9" t="n">
        <x:f>'Monthly FP&amp;A'!D16</x:f>
        <x:v>238395</x:v>
      </x:c>
      <x:c r="E9" t="n">
        <x:f>'Monthly FP&amp;A'!E16</x:f>
        <x:v>248227.5</x:v>
      </x:c>
      <x:c r="F9" t="n">
        <x:f>'Monthly FP&amp;A'!F16</x:f>
        <x:v>258232.5</x:v>
      </x:c>
      <x:c r="G9" t="n">
        <x:f>'Monthly FP&amp;A'!G16</x:f>
        <x:v>268237.5</x:v>
      </x:c>
      <x:c r="H9" t="n">
        <x:f>'Monthly FP&amp;A'!H16</x:f>
        <x:v>278242.5</x:v>
      </x:c>
      <x:c r="I9" t="n">
        <x:f>'Monthly FP&amp;A'!I16</x:f>
        <x:v>288420</x:v>
      </x:c>
      <x:c r="J9" t="n">
        <x:f>'Monthly FP&amp;A'!J16</x:f>
        <x:v>298597.5</x:v>
      </x:c>
      <x:c r="K9" t="n">
        <x:f>'Monthly FP&amp;A'!K16</x:f>
        <x:v>308775</x:v>
      </x:c>
      <x:c r="L9" t="n">
        <x:f>'Monthly FP&amp;A'!L16</x:f>
        <x:v>319125</x:v>
      </x:c>
      <x:c r="M9" t="n">
        <x:f>'Monthly FP&amp;A'!M16</x:f>
        <x:v>329647.5</x:v>
      </x:c>
    </x:row>
    <x:row r="10">
      <x:c r="A10" t="str">
        <x:v>Budget revenue</x:v>
      </x:c>
      <x:c r="B10" t="n">
        <x:f>B9*(1+Assumptions!$B$25)</x:f>
        <x:v>229666.5</x:v>
      </x:c>
      <x:c r="C10" t="n">
        <x:f>C9*(1+Assumptions!$B$25)</x:f>
        <x:v>239990.625</x:v>
      </x:c>
      <x:c r="D10" t="n">
        <x:f>D9*(1+Assumptions!$B$25)</x:f>
        <x:v>250314.75</x:v>
      </x:c>
      <x:c r="E10" t="n">
        <x:f>E9*(1+Assumptions!$B$25)</x:f>
        <x:v>260638.875</x:v>
      </x:c>
      <x:c r="F10" t="n">
        <x:f>F9*(1+Assumptions!$B$25)</x:f>
        <x:v>271144.125</x:v>
      </x:c>
      <x:c r="G10" t="n">
        <x:f>G9*(1+Assumptions!$B$25)</x:f>
        <x:v>281649.375</x:v>
      </x:c>
      <x:c r="H10" t="n">
        <x:f>H9*(1+Assumptions!$B$25)</x:f>
        <x:v>292154.625</x:v>
      </x:c>
      <x:c r="I10" t="n">
        <x:f>I9*(1+Assumptions!$B$25)</x:f>
        <x:v>302841</x:v>
      </x:c>
      <x:c r="J10" t="n">
        <x:f>J9*(1+Assumptions!$B$25)</x:f>
        <x:v>313527.375</x:v>
      </x:c>
      <x:c r="K10" t="n">
        <x:f>K9*(1+Assumptions!$B$25)</x:f>
        <x:v>324213.75</x:v>
      </x:c>
      <x:c r="L10" t="n">
        <x:f>L9*(1+Assumptions!$B$25)</x:f>
        <x:v>335081.25</x:v>
      </x:c>
      <x:c r="M10" t="n">
        <x:f>M9*(1+Assumptions!$B$25)</x:f>
        <x:v>346129.875</x:v>
      </x:c>
    </x:row>
    <x:row r="11">
      <x:c r="A11" t="str">
        <x:v>Revenue variance ($)</x:v>
      </x:c>
      <x:c r="B11" t="n">
        <x:f>B9-B10</x:f>
        <x:v>-10936.5</x:v>
      </x:c>
      <x:c r="C11" t="n">
        <x:f>C9-C10</x:f>
        <x:v>-11428.125</x:v>
      </x:c>
      <x:c r="D11" t="n">
        <x:f>D9-D10</x:f>
        <x:v>-11919.75</x:v>
      </x:c>
      <x:c r="E11" t="n">
        <x:f>E9-E10</x:f>
        <x:v>-12411.375</x:v>
      </x:c>
      <x:c r="F11" t="n">
        <x:f>F9-F10</x:f>
        <x:v>-12911.625</x:v>
      </x:c>
      <x:c r="G11" t="n">
        <x:f>G9-G10</x:f>
        <x:v>-13411.875</x:v>
      </x:c>
      <x:c r="H11" t="n">
        <x:f>H9-H10</x:f>
        <x:v>-13912.125</x:v>
      </x:c>
      <x:c r="I11" t="n">
        <x:f>I9-I10</x:f>
        <x:v>-14421</x:v>
      </x:c>
      <x:c r="J11" t="n">
        <x:f>J9-J10</x:f>
        <x:v>-14929.875</x:v>
      </x:c>
      <x:c r="K11" t="n">
        <x:f>K9-K10</x:f>
        <x:v>-15438.75</x:v>
      </x:c>
      <x:c r="L11" t="n">
        <x:f>L9-L10</x:f>
        <x:v>-15956.25</x:v>
      </x:c>
      <x:c r="M11" t="n">
        <x:f>M9-M10</x:f>
        <x:v>-16482.375</x:v>
      </x:c>
    </x:row>
    <x:row r="12">
      <x:c r="A12" t="str">
        <x:v>Revenue variance (%)</x:v>
      </x:c>
      <x:c r="B12" s="22" t="n">
        <x:f>IFERROR(B11/B10,0)</x:f>
        <x:v>-0.047619047619047616</x:v>
      </x:c>
      <x:c r="C12" s="22" t="n">
        <x:f>IFERROR(C11/C10,0)</x:f>
        <x:v>-0.047619047619047616</x:v>
      </x:c>
      <x:c r="D12" s="22" t="n">
        <x:f>IFERROR(D11/D10,0)</x:f>
        <x:v>-0.047619047619047616</x:v>
      </x:c>
      <x:c r="E12" s="22" t="n">
        <x:f>IFERROR(E11/E10,0)</x:f>
        <x:v>-0.047619047619047616</x:v>
      </x:c>
      <x:c r="F12" s="22" t="n">
        <x:f>IFERROR(F11/F10,0)</x:f>
        <x:v>-0.047619047619047616</x:v>
      </x:c>
      <x:c r="G12" s="22" t="n">
        <x:f>IFERROR(G11/G10,0)</x:f>
        <x:v>-0.047619047619047616</x:v>
      </x:c>
      <x:c r="H12" s="22" t="n">
        <x:f>IFERROR(H11/H10,0)</x:f>
        <x:v>-0.047619047619047616</x:v>
      </x:c>
      <x:c r="I12" s="22" t="n">
        <x:f>IFERROR(I11/I10,0)</x:f>
        <x:v>-0.047619047619047616</x:v>
      </x:c>
      <x:c r="J12" s="22" t="n">
        <x:f>IFERROR(J11/J10,0)</x:f>
        <x:v>-0.047619047619047616</x:v>
      </x:c>
      <x:c r="K12" s="22" t="n">
        <x:f>IFERROR(K11/K10,0)</x:f>
        <x:v>-0.047619047619047616</x:v>
      </x:c>
      <x:c r="L12" s="22" t="n">
        <x:f>IFERROR(L11/L10,0)</x:f>
        <x:v>-0.047619047619047616</x:v>
      </x:c>
      <x:c r="M12" s="22" t="n">
        <x:f>IFERROR(M11/M10,0)</x:f>
        <x:v>-0.047619047619047616</x:v>
      </x:c>
    </x:row>
    <x:row r="14">
      <x:c r="A14" t="str">
        <x:v>Actual EBITDA</x:v>
      </x:c>
      <x:c r="B14" t="n">
        <x:f>'Monthly FP&amp;A'!B29</x:f>
        <x:v>-389236.6</x:v>
      </x:c>
      <x:c r="C14" t="n">
        <x:f>'Monthly FP&amp;A'!C29</x:f>
        <x:v>-383533.75</x:v>
      </x:c>
      <x:c r="D14" t="n">
        <x:f>'Monthly FP&amp;A'!D29</x:f>
        <x:v>-377830.9</x:v>
      </x:c>
      <x:c r="E14" t="n">
        <x:f>'Monthly FP&amp;A'!E29</x:f>
        <x:v>-390728.05</x:v>
      </x:c>
      <x:c r="F14" t="n">
        <x:f>'Monthly FP&amp;A'!F29</x:f>
        <x:v>-384925.15</x:v>
      </x:c>
      <x:c r="G14" t="n">
        <x:f>'Monthly FP&amp;A'!G29</x:f>
        <x:v>-379122.25</x:v>
      </x:c>
      <x:c r="H14" t="n">
        <x:f>'Monthly FP&amp;A'!H29</x:f>
        <x:v>-391919.35</x:v>
      </x:c>
      <x:c r="I14" t="n">
        <x:f>'Monthly FP&amp;A'!I29</x:f>
        <x:v>-386016.4</x:v>
      </x:c>
      <x:c r="J14" t="n">
        <x:f>'Monthly FP&amp;A'!J29</x:f>
        <x:v>-380113.45</x:v>
      </x:c>
      <x:c r="K14" t="n">
        <x:f>'Monthly FP&amp;A'!K29</x:f>
        <x:v>-392810.5</x:v>
      </x:c>
      <x:c r="L14" t="n">
        <x:f>'Monthly FP&amp;A'!L29</x:f>
        <x:v>-386807.5</x:v>
      </x:c>
      <x:c r="M14" t="n">
        <x:f>'Monthly FP&amp;A'!M29</x:f>
        <x:v>-380704.45</x:v>
      </x:c>
    </x:row>
    <x:row r="15">
      <x:c r="A15" t="str">
        <x:v>Budget EBITDA</x:v>
      </x:c>
      <x:c r="B15" t="n">
        <x:f>B10*(1-Assumptions!$B$12)-'Monthly FP&amp;A'!B28*(1-Assumptions!$B$26)</x:f>
        <x:v>-363210.8139999999</x:v>
      </x:c>
      <x:c r="C15" t="n">
        <x:f>C10*(1-Assumptions!$B$12)-'Monthly FP&amp;A'!C28*(1-Assumptions!$B$26)</x:f>
        <x:v>-357034.0375</x:v>
      </x:c>
      <x:c r="D15" t="n">
        <x:f>D10*(1-Assumptions!$B$12)-'Monthly FP&amp;A'!D28*(1-Assumptions!$B$26)</x:f>
        <x:v>-350857.26100000006</x:v>
      </x:c>
      <x:c r="E15" t="n">
        <x:f>E10*(1-Assumptions!$B$12)-'Monthly FP&amp;A'!E28*(1-Assumptions!$B$26)</x:f>
        <x:v>-362722.48449999996</x:v>
      </x:c>
      <x:c r="F15" t="n">
        <x:f>F10*(1-Assumptions!$B$12)-'Monthly FP&amp;A'!F28*(1-Assumptions!$B$26)</x:f>
        <x:v>-356437.3435000001</x:v>
      </x:c>
      <x:c r="G15" t="n">
        <x:f>G10*(1-Assumptions!$B$12)-'Monthly FP&amp;A'!G28*(1-Assumptions!$B$26)</x:f>
        <x:v>-350152.2024999999</x:v>
      </x:c>
      <x:c r="H15" t="n">
        <x:f>H10*(1-Assumptions!$B$12)-'Monthly FP&amp;A'!H28*(1-Assumptions!$B$26)</x:f>
        <x:v>-361909.06149999995</x:v>
      </x:c>
      <x:c r="I15" t="n">
        <x:f>I10*(1-Assumptions!$B$12)-'Monthly FP&amp;A'!I28*(1-Assumptions!$B$26)</x:f>
        <x:v>-355515.556</x:v>
      </x:c>
      <x:c r="J15" t="n">
        <x:f>J10*(1-Assumptions!$B$12)-'Monthly FP&amp;A'!J28*(1-Assumptions!$B$26)</x:f>
        <x:v>-349122.0505</x:v>
      </x:c>
      <x:c r="K15" t="n">
        <x:f>K10*(1-Assumptions!$B$12)-'Monthly FP&amp;A'!K28*(1-Assumptions!$B$26)</x:f>
        <x:v>-360770.5449999999</x:v>
      </x:c>
      <x:c r="L15" t="n">
        <x:f>L10*(1-Assumptions!$B$12)-'Monthly FP&amp;A'!L28*(1-Assumptions!$B$26)</x:f>
        <x:v>-354268.67499999993</x:v>
      </x:c>
      <x:c r="M15" t="n">
        <x:f>M10*(1-Assumptions!$B$12)-'Monthly FP&amp;A'!M28*(1-Assumptions!$B$26)</x:f>
        <x:v>-347658.44049999997</x:v>
      </x:c>
    </x:row>
    <x:row r="16">
      <x:c r="A16" t="str">
        <x:v>EBITDA variance ($)</x:v>
      </x:c>
      <x:c r="B16" t="n">
        <x:f>B14-B15</x:f>
        <x:v>-26025.78600000008</x:v>
      </x:c>
      <x:c r="C16" t="n">
        <x:f>C14-C15</x:f>
        <x:v>-26499.712500000023</x:v>
      </x:c>
      <x:c r="D16" t="n">
        <x:f>D14-D15</x:f>
        <x:v>-26973.638999999966</x:v>
      </x:c>
      <x:c r="E16" t="n">
        <x:f>E14-E15</x:f>
        <x:v>-28005.565500000026</x:v>
      </x:c>
      <x:c r="F16" t="n">
        <x:f>F14-F15</x:f>
        <x:v>-28487.806499999948</x:v>
      </x:c>
      <x:c r="G16" t="n">
        <x:f>G14-G15</x:f>
        <x:v>-28970.047500000102</x:v>
      </x:c>
      <x:c r="H16" t="n">
        <x:f>H14-H15</x:f>
        <x:v>-30010.288500000024</x:v>
      </x:c>
      <x:c r="I16" t="n">
        <x:f>I14-I15</x:f>
        <x:v>-30500.84400000004</x:v>
      </x:c>
      <x:c r="J16" t="n">
        <x:f>J14-J15</x:f>
        <x:v>-30991.3995</x:v>
      </x:c>
      <x:c r="K16" t="n">
        <x:f>K14-K15</x:f>
        <x:v>-32039.955000000075</x:v>
      </x:c>
      <x:c r="L16" t="n">
        <x:f>L14-L15</x:f>
        <x:v>-32538.82500000007</x:v>
      </x:c>
      <x:c r="M16" t="n">
        <x:f>M14-M15</x:f>
        <x:v>-33046.009500000044</x:v>
      </x:c>
    </x:row>
    <x:row r="17">
      <x:c r="A17" t="str">
        <x:v>EBITDA variance (%)</x:v>
      </x:c>
      <x:c r="B17" s="22" t="n">
        <x:f>IFERROR(B16/ABS(B15),0)</x:f>
        <x:v>-0.07165476631430938</x:v>
      </x:c>
      <x:c r="C17" s="22" t="n">
        <x:f>IFERROR(C16/ABS(C15),0)</x:f>
        <x:v>-0.07422181001440241</x:v>
      </x:c>
      <x:c r="D17" s="22" t="n">
        <x:f>IFERROR(D16/ABS(D15),0)</x:f>
        <x:v>-0.07687923836354625</x:v>
      </x:c>
      <x:c r="E17" s="22" t="n">
        <x:f>IFERROR(E16/ABS(E15),0)</x:f>
        <x:v>-0.07720934515158248</x:v>
      </x:c>
      <x:c r="F17" s="22" t="n">
        <x:f>IFERROR(F16/ABS(F15),0)</x:f>
        <x:v>-0.07992374261424699</x:v>
      </x:c>
      <x:c r="G17" s="22" t="n">
        <x:f>IFERROR(G16/ABS(G15),0)</x:f>
        <x:v>-0.08273558553440803</x:v>
      </x:c>
      <x:c r="H17" s="22" t="n">
        <x:f>IFERROR(H16/ABS(H15),0)</x:f>
        <x:v>-0.08292218043841389</x:v>
      </x:c>
      <x:c r="I17" s="22" t="n">
        <x:f>IFERROR(I16/ABS(I15),0)</x:f>
        <x:v>-0.08579327538623947</x:v>
      </x:c>
      <x:c r="J17" s="22" t="n">
        <x:f>IFERROR(J16/ABS(J15),0)</x:f>
        <x:v>-0.0887695276067932</x:v>
      </x:c>
      <x:c r="K17" s="22" t="n">
        <x:f>IFERROR(K16/ABS(K15),0)</x:f>
        <x:v>-0.08880978628673825</x:v>
      </x:c>
      <x:c r="L17" s="22" t="n">
        <x:f>IFERROR(L16/ABS(L15),0)</x:f>
        <x:v>-0.09184787506262042</x:v>
      </x:c>
      <x:c r="M17" s="22" t="n">
        <x:f>IFERROR(M16/ABS(M15),0)</x:f>
        <x:v>-0.09505309134009086</x:v>
      </x:c>
    </x:row>
  </x:sheetData>
  <x:mergeCells>
    <x:mergeCell ref="A1:P2"/>
    <x:mergeCell ref="A3:P3"/>
    <x:mergeCell ref="A5:P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3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5" customHeight="1">
      <x:c r="A1" s="3" t="str">
        <x:v>THREE STATEMENTS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2" customHeight="1">
      <x:c r="A3" s="7" t="str">
        <x:v>SYNTHETIC SAAS CASE STUDY  •  USD  •  FY2026 ILLUSTRATIVE ACTUALS / FY2027 PLAN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5" ht="23" customHeight="1">
      <x:c r="A5" s="10" t="str">
        <x:v>ANNUAL INCOME STATEMENT, CASH FLOW &amp; SIMPLIFIED BALANCE SHEET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7">
      <x:c r="B7" t="str">
        <x:v>FY2026 Actual</x:v>
      </x:c>
      <x:c r="C7" t="str">
        <x:v>FY2027 Forecast</x:v>
      </x:c>
    </x:row>
    <x:row r="9">
      <x:c r="A9" t="str">
        <x:v>Revenue</x:v>
      </x:c>
      <x:c r="B9" t="n">
        <x:f>SUM('Monthly FP&amp;A'!B16:M16)</x:f>
        <x:v>3283192.5</x:v>
      </x:c>
      <x:c r="C9" t="n">
        <x:f>SUM('Monthly FP&amp;A'!N16:Y16)</x:f>
        <x:v>5004721.8</x:v>
      </x:c>
    </x:row>
    <x:row r="10">
      <x:c r="A10" t="str">
        <x:v>Cost of service</x:v>
      </x:c>
      <x:c r="B10" t="n">
        <x:f>SUM('Monthly FP&amp;A'!B19:M19)</x:f>
        <x:v>590974.6500000001</x:v>
      </x:c>
      <x:c r="C10" t="n">
        <x:f>SUM('Monthly FP&amp;A'!N19:Y19)</x:f>
        <x:v>900849.924</x:v>
      </x:c>
    </x:row>
    <x:row r="11">
      <x:c r="A11" t="str">
        <x:v>Gross profit</x:v>
      </x:c>
      <x:c r="B11" t="n">
        <x:f>SUM('Monthly FP&amp;A'!B20:M20)</x:f>
        <x:v>2692217.8500000006</x:v>
      </x:c>
      <x:c r="C11" t="n">
        <x:f>SUM('Monthly FP&amp;A'!N20:Y20)</x:f>
        <x:v>4103871.8759999997</x:v>
      </x:c>
    </x:row>
    <x:row r="12">
      <x:c r="A12" t="str">
        <x:v>Operating expenses</x:v>
      </x:c>
      <x:c r="B12" t="n">
        <x:f>SUM('Monthly FP&amp;A'!B28:M28)</x:f>
        <x:v>7315966.200000001</x:v>
      </x:c>
      <x:c r="C12" t="n">
        <x:f>SUM('Monthly FP&amp;A'!N28:Y28)</x:f>
        <x:v>8918765.231999999</x:v>
      </x:c>
    </x:row>
    <x:row r="13">
      <x:c r="A13" t="str">
        <x:v>EBITDA</x:v>
      </x:c>
      <x:c r="B13" t="n">
        <x:f>SUM('Monthly FP&amp;A'!B29:M29)</x:f>
        <x:v>-4623748.350000001</x:v>
      </x:c>
      <x:c r="C13" t="n">
        <x:f>SUM('Monthly FP&amp;A'!N29:Y29)</x:f>
        <x:v>-4814893.356</x:v>
      </x:c>
    </x:row>
    <x:row r="14">
      <x:c r="A14" t="str">
        <x:v>Depreciation</x:v>
      </x:c>
      <x:c r="B14" t="n">
        <x:f>SUM('Monthly FP&amp;A'!B31:M31)</x:f>
        <x:v>192000</x:v>
      </x:c>
      <x:c r="C14" t="n">
        <x:f>SUM('Monthly FP&amp;A'!N31:Y31)</x:f>
        <x:v>192000</x:v>
      </x:c>
    </x:row>
    <x:row r="15">
      <x:c r="A15" t="str">
        <x:v>EBIT</x:v>
      </x:c>
      <x:c r="B15" t="n">
        <x:f>SUM('Monthly FP&amp;A'!B32:M32)</x:f>
        <x:v>-4815748.350000001</x:v>
      </x:c>
      <x:c r="C15" t="n">
        <x:f>SUM('Monthly FP&amp;A'!N32:Y32)</x:f>
        <x:v>-5006893.356</x:v>
      </x:c>
    </x:row>
    <x:row r="16">
      <x:c r="A16" t="str">
        <x:v>Tax</x:v>
      </x:c>
      <x:c r="B16" t="n">
        <x:f>SUM('Monthly FP&amp;A'!B33:M33)</x:f>
        <x:v>0</x:v>
      </x:c>
      <x:c r="C16" t="n">
        <x:f>SUM('Monthly FP&amp;A'!N33:Y33)</x:f>
        <x:v>0</x:v>
      </x:c>
    </x:row>
    <x:row r="17">
      <x:c r="A17" t="str">
        <x:v>Net income</x:v>
      </x:c>
      <x:c r="B17" t="n">
        <x:f>SUM('Monthly FP&amp;A'!B34:M34)</x:f>
        <x:v>-4815748.350000001</x:v>
      </x:c>
      <x:c r="C17" t="n">
        <x:f>SUM('Monthly FP&amp;A'!N34:Y34)</x:f>
        <x:v>-5006893.356</x:v>
      </x:c>
    </x:row>
    <x:row r="20">
      <x:c r="A20" t="str">
        <x:v>Operating cash flow</x:v>
      </x:c>
      <x:c r="B20" t="n">
        <x:f>SUM('Monthly FP&amp;A'!B38:M38)</x:f>
        <x:v>-4650120.15</x:v>
      </x:c>
      <x:c r="C20" t="n">
        <x:f>SUM('Monthly FP&amp;A'!N38:Y38)</x:f>
        <x:v>-4827114.084</x:v>
      </x:c>
    </x:row>
    <x:row r="21">
      <x:c r="A21" t="str">
        <x:v>Capex</x:v>
      </x:c>
      <x:c r="B21" t="n">
        <x:f>SUM('Monthly FP&amp;A'!B36:M36)</x:f>
        <x:v>264000</x:v>
      </x:c>
      <x:c r="C21" t="n">
        <x:f>SUM('Monthly FP&amp;A'!N36:Y36)</x:f>
        <x:v>264000</x:v>
      </x:c>
    </x:row>
    <x:row r="22">
      <x:c r="A22" t="str">
        <x:v>Free cash flow</x:v>
      </x:c>
      <x:c r="B22" t="n">
        <x:f>SUM('Monthly FP&amp;A'!B39:M39)</x:f>
        <x:v>-4914120.15</x:v>
      </x:c>
      <x:c r="C22" t="n">
        <x:f>SUM('Monthly FP&amp;A'!N39:Y39)</x:f>
        <x:v>-5091114.084</x:v>
      </x:c>
    </x:row>
    <x:row r="23">
      <x:c r="A23" t="str">
        <x:v>Closing cash</x:v>
      </x:c>
      <x:c r="B23" t="n">
        <x:f>'Monthly FP&amp;A'!M40</x:f>
        <x:v>1285879.85</x:v>
      </x:c>
      <x:c r="C23" t="n">
        <x:f>'Monthly FP&amp;A'!Y40</x:f>
        <x:v>-3805234.2339999997</x:v>
      </x:c>
    </x:row>
    <x:row r="26">
      <x:c r="A26" t="str">
        <x:v>Net working capital</x:v>
      </x:c>
      <x:c r="B26" t="n">
        <x:f>'Monthly FP&amp;A'!M16*Assumptions!$B$24</x:f>
        <x:v>26371.8</x:v>
      </x:c>
      <x:c r="C26" t="n">
        <x:f>'Monthly FP&amp;A'!Y16*Assumptions!$B$24</x:f>
        <x:v>38592.528000000006</x:v>
      </x:c>
    </x:row>
    <x:row r="27">
      <x:c r="A27" t="str">
        <x:v>Net PP&amp;E</x:v>
      </x:c>
      <x:c r="B27" t="n">
        <x:f>Assumptions!$B$21+B21*-1-B14</x:f>
        <x:v>-434000</x:v>
      </x:c>
      <x:c r="C27" t="n">
        <x:f>B27-C21-C14</x:f>
        <x:v>-890000</x:v>
      </x:c>
    </x:row>
    <x:row r="28">
      <x:c r="A28" t="str">
        <x:v>Total assets</x:v>
      </x:c>
      <x:c r="B28" t="n">
        <x:f>SUM(B23,B26:B27)</x:f>
        <x:v>878251.6500000001</x:v>
      </x:c>
      <x:c r="C28" t="n">
        <x:f>SUM(C23,C26:C27)</x:f>
        <x:v>-4656641.705999999</x:v>
      </x:c>
    </x:row>
    <x:row r="30">
      <x:c r="A30" t="str">
        <x:v>Debt</x:v>
      </x:c>
      <x:c r="B30" t="n">
        <x:f>0</x:f>
        <x:v>0</x:v>
      </x:c>
      <x:c r="C30" t="n">
        <x:f>0</x:f>
        <x:v>0</x:v>
      </x:c>
    </x:row>
    <x:row r="31">
      <x:c r="A31" t="str">
        <x:v>Equity</x:v>
      </x:c>
      <x:c r="B31" t="n">
        <x:f>B28-B30</x:f>
        <x:v>878251.6500000001</x:v>
      </x:c>
      <x:c r="C31" t="n">
        <x:f>C28-C30</x:f>
        <x:v>-4656641.705999999</x:v>
      </x:c>
    </x:row>
    <x:row r="32">
      <x:c r="A32" t="str">
        <x:v>Total liabilities &amp; equity</x:v>
      </x:c>
      <x:c r="B32" t="n">
        <x:f>SUM(B30:B31)</x:f>
        <x:v>878251.6500000001</x:v>
      </x:c>
      <x:c r="C32" t="n">
        <x:f>SUM(C30:C31)</x:f>
        <x:v>-4656641.705999999</x:v>
      </x:c>
    </x:row>
    <x:row r="33">
      <x:c r="A33" t="str">
        <x:v>Balance check</x:v>
      </x:c>
      <x:c r="B33" t="n">
        <x:f>B28-B32</x:f>
        <x:v>0</x:v>
      </x:c>
      <x:c r="C33" t="n">
        <x:f>C28-C32</x:f>
        <x:v>0</x:v>
      </x:c>
    </x:row>
  </x:sheetData>
  <x:mergeCells>
    <x:mergeCell ref="A1:P2"/>
    <x:mergeCell ref="A3:P3"/>
    <x:mergeCell ref="A5:P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9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5" customHeight="1">
      <x:c r="A1" s="3" t="str">
        <x:v>MANAGEMENT COMMENTARY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2" customHeight="1">
      <x:c r="A3" s="7" t="str">
        <x:v>SYNTHETIC SAAS CASE STUDY  •  USD  •  FY2026 ILLUSTRATIVE ACTUALS / FY2027 PLAN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5" ht="23" customHeight="1">
      <x:c r="A5" s="10" t="str">
        <x:v>CFO / BOARD DISCUSSION — DYNAMIC MANAGEMENT NARRATIVE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7">
      <x:c r="A7" t="str">
        <x:v>Revenue outlook</x:v>
      </x:c>
      <x:c r="B7" t="str">
        <x:f>IF('Three Statements'!C9&gt;'Three Statements'!B9,"Revenue is forecast to grow year on year, supported by customer acquisition and pricing.","Revenue is forecast to decline; review churn and acquisition performance.")</x:f>
        <x:v>Revenue is forecast to grow year on year, supported by customer acquisition and pricing.</x:v>
      </x:c>
    </x:row>
    <x:row r="8">
      <x:c r="A8" t="str">
        <x:v>Profitability</x:v>
      </x:c>
      <x:c r="B8" t="str">
        <x:f>IF('Three Statements'!C13&gt;=0,"FY2027 EBITDA is positive; continue monitoring operating leverage and hiring discipline.","FY2027 EBITDA remains negative; prioritise cost-to-serve and headcount efficiency.")</x:f>
        <x:v>FY2027 EBITDA remains negative; prioritise cost-to-serve and headcount efficiency.</x:v>
      </x:c>
    </x:row>
    <x:row r="9">
      <x:c r="A9" t="str">
        <x:v>Liquidity</x:v>
      </x:c>
      <x:c r="B9" t="str">
        <x:f>IF('Three Statements'!C23&gt;0,"Forecast closing cash remains positive under the current assumptions.","Forecast cash falls below zero; financing or cost actions are required.")</x:f>
        <x:v>Forecast cash falls below zero; financing or cost actions are required.</x:v>
      </x:c>
    </x:row>
    <x:row r="10">
      <x:c r="A10" t="str">
        <x:v>Unit economics</x:v>
      </x:c>
      <x:c r="B10" t="str">
        <x:f>IF('SaaS Metrics'!Y17&gt;3,"LTV/CAC exceeds 3x on model assumptions; validate observed acquisition economics.","LTV/CAC is below 3x; review pricing, retention and acquisition spend.")</x:f>
        <x:v>LTV/CAC exceeds 3x on model assumptions; validate observed acquisition economics.</x:v>
      </x:c>
    </x:row>
    <x:row r="11">
      <x:c r="A11" t="str">
        <x:v>Management actions</x:v>
      </x:c>
      <x:c r="B11" t="str">
        <x:v>Review retention, CAC payback, hiring pace, cost efficiency and scenario downside monthly.</x:v>
      </x:c>
    </x:row>
  </x:sheetData>
  <x:mergeCells>
    <x:mergeCell ref="A1:P2"/>
    <x:mergeCell ref="A3:P3"/>
    <x:mergeCell ref="A5:P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</x:cols>
  <x:sheetData>
    <x:row r="1" ht="25" customHeight="1">
      <x:c r="A1" s="3" t="str">
        <x:v>READ ME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2" customHeight="1">
      <x:c r="A3" s="7" t="str">
        <x:v>SYNTHETIC SAAS CASE STUDY  •  USD  •  FY2026 ILLUSTRATIVE ACTUALS / FY2027 PLAN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5" ht="23" customHeight="1">
      <x:c r="A5" s="10" t="str">
        <x:v>MODEL GUIDE &amp; IMPORTANT LIMITATIONS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7">
      <x:c r="A7" t="str">
        <x:v>1. Open Executive Dashboard first. Charts and KPIs link to operating forecasts.</x:v>
      </x:c>
    </x:row>
    <x:row r="8">
      <x:c r="A8" t="str">
        <x:v>2. Change blue input cells on Assumptions; B27 and B28 control scenario multipliers.</x:v>
      </x:c>
    </x:row>
    <x:row r="9">
      <x:c r="A9" t="str">
        <x:v>3. Monthly FP&amp;A contains 12 illustrative 2026 actuals and 12 forecast months for 2027.</x:v>
      </x:c>
    </x:row>
    <x:row r="10">
      <x:c r="A10" t="str">
        <x:v>4. SaaS Metrics calculates MRR, ARR, churn, CAC, LTV, CAC payback and Rule of 40.</x:v>
      </x:c>
    </x:row>
    <x:row r="11">
      <x:c r="A11" t="str">
        <x:v>5. Budget vs Actual compares illustrative 2026 actuals with a separately defined planning benchmark.</x:v>
      </x:c>
    </x:row>
    <x:row r="12">
      <x:c r="A12" t="str">
        <x:v>6. Three Statements includes a simplified balance sheet; equity is a balancing residual, not a full historical roll-forward.</x:v>
      </x:c>
    </x:row>
    <x:row r="13">
      <x:c r="A13" t="str">
        <x:v>7. Gross and net revenue retention are proxies because cohort-level expansion/contraction data is unavailable.</x:v>
      </x:c>
    </x:row>
    <x:row r="14">
      <x:c r="A14" t="str">
        <x:v>8. CAC and LTV are assumption-driven illustrative unit economics; not independently validated.</x:v>
      </x:c>
    </x:row>
    <x:row r="15">
      <x:c r="A15" t="str">
        <x:v>9. All data and company activity are fictional/synthetic, not sourced from real clients.</x:v>
      </x:c>
    </x:row>
    <x:row r="16">
      <x:c r="A16" t="str">
        <x:v>10. This is an educational portfolio demonstration, not audited financial reporting or investment advice.</x:v>
      </x:c>
    </x:row>
  </x:sheetData>
  <x:mergeCells>
    <x:mergeCell ref="A1:P2"/>
    <x:mergeCell ref="A3:P3"/>
    <x:mergeCell ref="A5:P5"/>
  </x:mergeCells>
  <x:pageMargins left="0.7" right="0.7" top="0.75" bottom="0.75" header="0.3" footer="0.3"/>
</x:worksheet>
</file>