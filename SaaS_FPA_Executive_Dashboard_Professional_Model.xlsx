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1af99988c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2aa28495dde145d0"/>
    <x:sheet xmlns:r="http://schemas.openxmlformats.org/officeDocument/2006/relationships" name="Assumptions" sheetId="2" r:id="R72c778cf7a2942a3"/>
    <x:sheet xmlns:r="http://schemas.openxmlformats.org/officeDocument/2006/relationships" name="Monthly FP&amp;A" sheetId="3" r:id="Rb915d88a3549434f"/>
    <x:sheet xmlns:r="http://schemas.openxmlformats.org/officeDocument/2006/relationships" name="Budget vs Actual" sheetId="4" r:id="R1fb782ee6e8a4886"/>
    <x:sheet xmlns:r="http://schemas.openxmlformats.org/officeDocument/2006/relationships" name="SaaS KPIs" sheetId="5" r:id="Rdcaa397ee1d24c46"/>
    <x:sheet xmlns:r="http://schemas.openxmlformats.org/officeDocument/2006/relationships" name="Management Commentary" sheetId="6" r:id="R3cbec31eb51841ba"/>
    <x:sheet xmlns:r="http://schemas.openxmlformats.org/officeDocument/2006/relationships" name="Model Guide" sheetId="7" r:id="R4a86178da3da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mmm yy"/>
    <x:numFmt numFmtId="202" formatCode="$#,##0;[Red]($#,##0)"/>
    <x:numFmt numFmtId="203" formatCode="mmm"/>
    <x:numFmt numFmtId="204" formatCode="$#,##0"/>
    <x:numFmt numFmtId="205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sz val="11"/>
      <x:color rgb="FF155E9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8"/>
      <x:color rgb="FF174A8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174A86"/>
      </x:patternFill>
    </x:fill>
    <x:fill>
      <x:patternFill patternType="solid">
        <x:fgColor rgb="FFE7F3F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201" fontId="0" fillId="3" borderId="1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6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4b5fe89fb4b25" /><Relationship Type="http://schemas.openxmlformats.org/officeDocument/2006/relationships/theme" Target="/xl/theme/theme1.xml" Id="R99162c0527234d58" /><Relationship Type="http://schemas.openxmlformats.org/officeDocument/2006/relationships/sharedStrings" Target="/xl/sharedStrings.xml" Id="R8986647bf9f6468d" /><Relationship Type="http://schemas.openxmlformats.org/officeDocument/2006/relationships/worksheet" Target="/xl/worksheets/sheet1.xml" Id="R2aa28495dde145d0" /><Relationship Type="http://schemas.openxmlformats.org/officeDocument/2006/relationships/worksheet" Target="/xl/worksheets/sheet2.xml" Id="R72c778cf7a2942a3" /><Relationship Type="http://schemas.openxmlformats.org/officeDocument/2006/relationships/worksheet" Target="/xl/worksheets/sheet3.xml" Id="Rb915d88a3549434f" /><Relationship Type="http://schemas.openxmlformats.org/officeDocument/2006/relationships/worksheet" Target="/xl/worksheets/sheet4.xml" Id="R1fb782ee6e8a4886" /><Relationship Type="http://schemas.openxmlformats.org/officeDocument/2006/relationships/worksheet" Target="/xl/worksheets/sheet5.xml" Id="Rdcaa397ee1d24c46" /><Relationship Type="http://schemas.openxmlformats.org/officeDocument/2006/relationships/worksheet" Target="/xl/worksheets/sheet6.xml" Id="R3cbec31eb51841ba" /><Relationship Type="http://schemas.openxmlformats.org/officeDocument/2006/relationships/worksheet" Target="/xl/worksheets/sheet7.xml" Id="R4a86178da3da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4f78208c8348ee" /><Relationship Type="http://schemas.openxmlformats.org/officeDocument/2006/relationships/chart" Target="/xl/drawings/charts/chart2.xml" Id="R0b68436d02a24556" /><Relationship Type="http://schemas.openxmlformats.org/officeDocument/2006/relationships/chart" Target="/xl/drawings/charts/chart3.xml" Id="Rbd7a019804a54ffe" /><Relationship Type="http://schemas.openxmlformats.org/officeDocument/2006/relationships/chart" Target="/xl/drawings/charts/chart4.xml" Id="Racef349b9f4048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EBITDA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'Executive Dashboard'!$R$5:$R$16</c:f>
              <c:strCache>
                <c:ptCount val="0"/>
              </c:strCache>
            </c:strRef>
          </c:cat>
          <c:val>
            <c:numRef>
              <c:f>'Executive Dashboard'!$S$5:$S$16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'Executive Dashboard'!$R$5:$R$16</c:f>
              <c:strCache>
                <c:ptCount val="0"/>
              </c:strCache>
            </c:strRef>
          </c:cat>
          <c:val>
            <c:numRef>
              <c:f>'Executive Dashboard'!$T$5:$T$16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Closing Cash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Closing Cash</c:v>
          </c:tx>
          <c:marker>
            <c:symbol val="none"/>
          </c:marker>
          <c:cat>
            <c:strRef>
              <c:f>'Executive Dashboard'!$AE$5:$AE$16</c:f>
              <c:strCache>
                <c:ptCount val="0"/>
              </c:strCache>
            </c:strRef>
          </c:cat>
          <c:val>
            <c:numRef>
              <c:f>'Executive Dashboard'!$AF$5:$AF$16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| Budget vs Forecast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'Executive Dashboard'!$W$5:$W$16</c:f>
              <c:strCache>
                <c:ptCount val="0"/>
              </c:strCache>
            </c:strRef>
          </c:cat>
          <c:val>
            <c:numRef>
              <c:f>'Executive Dashboard'!$X$5:$X$16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Forecast Revenue</c:v>
          </c:tx>
          <c:marker>
            <c:symbol val="none"/>
          </c:marker>
          <c:cat>
            <c:strRef>
              <c:f>'Executive Dashboard'!$W$5:$W$16</c:f>
              <c:strCache>
                <c:ptCount val="0"/>
              </c:strCache>
            </c:strRef>
          </c:cat>
          <c:val>
            <c:numRef>
              <c:f>'Executive Dashboard'!$Y$5:$Y$16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Cost Structure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FY2026 spend</c:v>
          </c:tx>
          <c:cat>
            <c:strRef>
              <c:f>'Executive Dashboard'!$AA$5:$AA$9</c:f>
              <c:strCache>
                <c:ptCount val="0"/>
              </c:strCache>
            </c:strRef>
          </c:cat>
          <c:val>
            <c:numRef>
              <c:f>'Executive Dashboard'!$AB$5:$AB$9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4f78208c8348ee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8436d02a2455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7a019804a54ffe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ef349b9f4048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d5d10e219f479f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24" customHeight="1">
      <x:c r="A1" s="3" t="str">
        <x:v>NORTHSTAR CLOUD  |  CFO EXECUTIVE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5" customHeight="1">
      <x:c r="A3" s="7" t="str">
        <x:v>Synthetic SaaS business • FY2026 outlook • Management decision-support | USD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>
      <x:c r="R4" t="str">
        <x:v>Month</x:v>
      </x:c>
      <x:c r="S4" t="str">
        <x:v>Revenue</x:v>
      </x:c>
      <x:c r="T4" t="str">
        <x:v>EBITDA</x:v>
      </x:c>
      <x:c r="U4" t="str">
        <x:v>Cash</x:v>
      </x:c>
      <x:c r="W4" t="str">
        <x:v>Month</x:v>
      </x:c>
      <x:c r="X4" t="str">
        <x:v>Budget Revenue</x:v>
      </x:c>
      <x:c r="Y4" t="str">
        <x:v>Forecast Revenue</x:v>
      </x:c>
      <x:c r="AA4" t="str">
        <x:v>Cost category</x:v>
      </x:c>
      <x:c r="AB4" t="str">
        <x:v>FY2026 spend</x:v>
      </x:c>
      <x:c r="AC4" t="str">
        <x:v>FY2025 spend</x:v>
      </x:c>
      <x:c r="AE4" t="str">
        <x:v>Month</x:v>
      </x:c>
      <x:c r="AF4" t="str">
        <x:v>Closing Cash</x:v>
      </x:c>
    </x:row>
    <x:row r="5" ht="28" customHeight="1">
      <x:c r="A5" s="28" t="str">
        <x:v>FY26 REVENUE</x:v>
      </x:c>
      <x:c r="E5" s="28" t="str">
        <x:v>FY26 EBITDA</x:v>
      </x:c>
      <x:c r="I5" s="28" t="str">
        <x:v>FY26 EBITDA MARGIN</x:v>
      </x:c>
      <x:c r="M5" s="28" t="str">
        <x:v>FY26 ENDING CASH</x:v>
      </x:c>
      <x:c r="R5" s="36" t="n">
        <x:f>'Monthly FP&amp;A'!N5</x:f>
        <x:v>46023</x:v>
      </x:c>
      <x:c r="S5" t="n">
        <x:f>'Monthly FP&amp;A'!N13</x:f>
        <x:v>432892.6162286602</x:v>
      </x:c>
      <x:c r="T5" t="n">
        <x:f>'Monthly FP&amp;A'!N23</x:f>
        <x:v>-192790.9936182617</x:v>
      </x:c>
      <x:c r="U5" t="n">
        <x:f>'Monthly FP&amp;A'!N39</x:f>
        <x:v>-152344.77229759237</x:v>
      </x:c>
      <x:c r="W5" s="36" t="n">
        <x:f>'Monthly FP&amp;A'!N5</x:f>
        <x:v>46023</x:v>
      </x:c>
      <x:c r="X5" t="n">
        <x:f>'Monthly FP&amp;A'!N13*(1+Assumptions!$B$28)</x:f>
        <x:v>458866.17320237984</x:v>
      </x:c>
      <x:c r="Y5" t="n">
        <x:f>'Monthly FP&amp;A'!N13</x:f>
        <x:v>432892.6162286602</x:v>
      </x:c>
      <x:c r="AA5" t="str">
        <x:v>Cost of service</x:v>
      </x:c>
      <x:c r="AB5" t="n">
        <x:f>SUM('Monthly FP&amp;A'!N14:Y14)</x:f>
        <x:v>1170494.9494218696</x:v>
      </x:c>
      <x:c r="AC5" t="n">
        <x:f>SUM('Monthly FP&amp;A'!B14:M14)</x:f>
        <x:v>776041.2402494595</x:v>
      </x:c>
      <x:c r="AE5" t="n">
        <x:f>R5</x:f>
        <x:v>46023</x:v>
      </x:c>
      <x:c r="AF5" t="n">
        <x:f>U5</x:f>
        <x:v>-152344.77229759237</x:v>
      </x:c>
    </x:row>
    <x:row r="6" ht="38" customHeight="1">
      <x:c r="B6" s="34" t="n">
        <x:f>SUM('Monthly FP&amp;A'!N13:Y13)</x:f>
        <x:v>6160499.733799314</x:v>
      </x:c>
      <x:c r="F6" s="34" t="n">
        <x:f>SUM('Monthly FP&amp;A'!N23:Y23)</x:f>
        <x:v>-2586815.0361662596</x:v>
      </x:c>
      <x:c r="J6" s="32" t="n">
        <x:f>IFERROR(SUM('Monthly FP&amp;A'!N23:Y23)/SUM('Monthly FP&amp;A'!N13:Y13),0)</x:f>
        <x:v>-0.41990344094551474</x:v>
      </x:c>
      <x:c r="N6" s="34" t="n">
        <x:f>'Monthly FP&amp;A'!Y39</x:f>
        <x:v>-2848353.5132278656</x:v>
      </x:c>
      <x:c r="R6" s="36" t="n">
        <x:f>'Monthly FP&amp;A'!O5</x:f>
        <x:v>46054</x:v>
      </x:c>
      <x:c r="S6" t="n">
        <x:f>'Monthly FP&amp;A'!O13</x:f>
        <x:v>447642.54184698634</x:v>
      </x:c>
      <x:c r="T6" t="n">
        <x:f>'Monthly FP&amp;A'!O23</x:f>
        <x:v>-196755.75603463233</x:v>
      </x:c>
      <x:c r="U6" t="n">
        <x:f>'Monthly FP&amp;A'!O39</x:f>
        <x:v>-376578.34585128154</x:v>
      </x:c>
      <x:c r="W6" s="36" t="n">
        <x:f>'Monthly FP&amp;A'!O5</x:f>
        <x:v>46054</x:v>
      </x:c>
      <x:c r="X6" t="n">
        <x:f>'Monthly FP&amp;A'!O13*(1+Assumptions!$B$28)</x:f>
        <x:v>474501.09435780556</x:v>
      </x:c>
      <x:c r="Y6" t="n">
        <x:f>'Monthly FP&amp;A'!O13</x:f>
        <x:v>447642.54184698634</x:v>
      </x:c>
      <x:c r="AA6" t="str">
        <x:v>Sales &amp; marketing</x:v>
      </x:c>
      <x:c r="AB6" t="n">
        <x:f>SUM('Monthly FP&amp;A'!N17:Y17)</x:f>
        <x:v>1416914.9387738423</x:v>
      </x:c>
      <x:c r="AC6" t="n">
        <x:f>SUM('Monthly FP&amp;A'!B17:M17)</x:f>
        <x:v>939418.343459872</x:v>
      </x:c>
      <x:c r="AE6" t="n">
        <x:f>R6</x:f>
        <x:v>46054</x:v>
      </x:c>
      <x:c r="AF6" t="n">
        <x:f>U6</x:f>
        <x:v>-376578.34585128154</x:v>
      </x:c>
    </x:row>
    <x:row r="7">
      <x:c r="R7" s="36" t="n">
        <x:f>'Monthly FP&amp;A'!P5</x:f>
        <x:v>46082</x:v>
      </x:c>
      <x:c r="S7" t="n">
        <x:f>'Monthly FP&amp;A'!P13</x:f>
        <x:v>462356.34932401794</x:v>
      </x:c>
      <x:c r="T7" t="n">
        <x:f>'Monthly FP&amp;A'!P23</x:f>
        <x:v>-200773.34946978698</x:v>
      </x:c>
      <x:c r="U7" t="n">
        <x:f>'Monthly FP&amp;A'!P39</x:f>
        <x:v>-604824.5639957967</x:v>
      </x:c>
      <x:c r="W7" s="36" t="n">
        <x:f>'Monthly FP&amp;A'!P5</x:f>
        <x:v>46082</x:v>
      </x:c>
      <x:c r="X7" t="n">
        <x:f>'Monthly FP&amp;A'!P13*(1+Assumptions!$B$28)</x:f>
        <x:v>490097.73028345907</x:v>
      </x:c>
      <x:c r="Y7" t="n">
        <x:f>'Monthly FP&amp;A'!P13</x:f>
        <x:v>462356.34932401794</x:v>
      </x:c>
      <x:c r="AA7" t="str">
        <x:v>R&amp;D</x:v>
      </x:c>
      <x:c r="AB7" t="n">
        <x:f>SUM('Monthly FP&amp;A'!N18:Y18)</x:f>
        <x:v>1108889.9520838766</x:v>
      </x:c>
      <x:c r="AC7" t="n">
        <x:f>SUM('Monthly FP&amp;A'!B18:M18)</x:f>
        <x:v>735196.9644468562</x:v>
      </x:c>
      <x:c r="AE7" t="n">
        <x:f>R7</x:f>
        <x:v>46082</x:v>
      </x:c>
      <x:c r="AF7" t="n">
        <x:f>U7</x:f>
        <x:v>-604824.5639957967</x:v>
      </x:c>
    </x:row>
    <x:row r="8">
      <x:c r="R8" s="36" t="n">
        <x:f>'Monthly FP&amp;A'!Q5</x:f>
        <x:v>46113</x:v>
      </x:c>
      <x:c r="S8" t="n">
        <x:f>'Monthly FP&amp;A'!Q13</x:f>
        <x:v>477034.52587769536</x:v>
      </x:c>
      <x:c r="T8" t="n">
        <x:f>'Monthly FP&amp;A'!Q23</x:f>
        <x:v>-204843.82422482187</x:v>
      </x:c>
      <x:c r="U8" t="n">
        <x:f>'Monthly FP&amp;A'!Q39</x:f>
        <x:v>-837136.3137712893</x:v>
      </x:c>
      <x:c r="W8" s="36" t="n">
        <x:f>'Monthly FP&amp;A'!Q5</x:f>
        <x:v>46113</x:v>
      </x:c>
      <x:c r="X8" t="n">
        <x:f>'Monthly FP&amp;A'!Q13*(1+Assumptions!$B$28)</x:f>
        <x:v>505656.5974303571</x:v>
      </x:c>
      <x:c r="Y8" t="n">
        <x:f>'Monthly FP&amp;A'!Q13</x:f>
        <x:v>477034.52587769536</x:v>
      </x:c>
      <x:c r="AA8" t="str">
        <x:v>G&amp;A</x:v>
      </x:c>
      <x:c r="AB8" t="n">
        <x:f>SUM('Monthly FP&amp;A'!N19:Y19)</x:f>
        <x:v>800864.965393911</x:v>
      </x:c>
      <x:c r="AC8" t="n">
        <x:f>SUM('Monthly FP&amp;A'!B19:M19)</x:f>
        <x:v>530975.5854338408</x:v>
      </x:c>
      <x:c r="AE8" t="n">
        <x:f>R8</x:f>
        <x:v>46113</x:v>
      </x:c>
      <x:c r="AF8" t="n">
        <x:f>U8</x:f>
        <x:v>-837136.3137712893</x:v>
      </x:c>
    </x:row>
    <x:row r="9" ht="28" customHeight="1">
      <x:c r="A9" s="28" t="str">
        <x:v>FY26 EXIT ARR</x:v>
      </x:c>
      <x:c r="E9" s="28" t="str">
        <x:v>FY26 EXIT CUSTOMERS</x:v>
      </x:c>
      <x:c r="I9" s="28" t="str">
        <x:v>FY26 CAC PAYBACK</x:v>
      </x:c>
      <x:c r="M9" s="28" t="str">
        <x:v>FY26 RULE OF 40</x:v>
      </x:c>
      <x:c r="R9" s="36" t="n">
        <x:f>'Monthly FP&amp;A'!R5</x:f>
        <x:v>46143</x:v>
      </x:c>
      <x:c r="S9" t="n">
        <x:f>'Monthly FP&amp;A'!R13</x:f>
        <x:v>491677.55626122665</x:v>
      </x:c>
      <x:c r="T9" t="n">
        <x:f>'Monthly FP&amp;A'!R23</x:f>
        <x:v>-208967.2319553967</x:v>
      </x:c>
      <x:c r="U9" t="n">
        <x:f>'Monthly FP&amp;A'!R39</x:f>
        <x:v>-1073566.5337159107</x:v>
      </x:c>
      <x:c r="W9" s="36" t="n">
        <x:f>'Monthly FP&amp;A'!R5</x:f>
        <x:v>46143</x:v>
      </x:c>
      <x:c r="X9" t="n">
        <x:f>'Monthly FP&amp;A'!R13*(1+Assumptions!$B$28)</x:f>
        <x:v>521178.2096369003</x:v>
      </x:c>
      <x:c r="Y9" t="n">
        <x:f>'Monthly FP&amp;A'!R13</x:f>
        <x:v>491677.55626122665</x:v>
      </x:c>
      <x:c r="AA9" t="str">
        <x:v>Payroll</x:v>
      </x:c>
      <x:c r="AB9" t="n">
        <x:f>SUM('Monthly FP&amp;A'!N21:Y21)</x:f>
        <x:v>4250149.964292075</x:v>
      </x:c>
      <x:c r="AC9" t="n">
        <x:f>SUM('Monthly FP&amp;A'!B21:M21)</x:f>
        <x:v>3111614.6525145024</x:v>
      </x:c>
      <x:c r="AE9" t="n">
        <x:f>R9</x:f>
        <x:v>46143</x:v>
      </x:c>
      <x:c r="AF9" t="n">
        <x:f>U9</x:f>
        <x:v>-1073566.5337159107</x:v>
      </x:c>
    </x:row>
    <x:row r="10" ht="38" customHeight="1">
      <x:c r="B10" s="34" t="n">
        <x:f>'Monthly FP&amp;A'!Y40</x:f>
        <x:v>7192129.525205964</x:v>
      </x:c>
      <x:c r="F10" s="30" t="n">
        <x:f>'Monthly FP&amp;A'!Y10</x:f>
        <x:v>1721.4195031388435</x:v>
      </x:c>
      <x:c r="J10" s="30" t="n">
        <x:f>'Monthly FP&amp;A'!Y44</x:f>
        <x:v>9.163176306509545</x:v>
      </x:c>
      <x:c r="N10" s="32" t="n">
        <x:f>'SaaS KPIs'!C17</x:f>
        <x:v>0.08838618171115326</x:v>
      </x:c>
      <x:c r="R10" s="36" t="n">
        <x:f>'Monthly FP&amp;A'!S5</x:f>
        <x:v>46174</x:v>
      </x:c>
      <x:c r="S10" t="n">
        <x:f>'Monthly FP&amp;A'!S13</x:f>
        <x:v>506285.92278323707</x:v>
      </x:c>
      <x:c r="T10" t="n">
        <x:f>'Monthly FP&amp;A'!S23</x:f>
        <x:v>-213143.62566875073</x:v>
      </x:c>
      <x:c r="U10" t="n">
        <x:f>'Monthly FP&amp;A'!S39</x:f>
        <x:v>-1314168.2152180334</x:v>
      </x:c>
      <x:c r="W10" s="36" t="n">
        <x:f>'Monthly FP&amp;A'!S5</x:f>
        <x:v>46174</x:v>
      </x:c>
      <x:c r="X10" t="n">
        <x:f>'Monthly FP&amp;A'!S13*(1+Assumptions!$B$28)</x:f>
        <x:v>536663.0781502313</x:v>
      </x:c>
      <x:c r="Y10" t="n">
        <x:f>'Monthly FP&amp;A'!S13</x:f>
        <x:v>506285.92278323707</x:v>
      </x:c>
      <x:c r="AE10" t="n">
        <x:f>R10</x:f>
        <x:v>46174</x:v>
      </x:c>
      <x:c r="AF10" t="n">
        <x:f>U10</x:f>
        <x:v>-1314168.2152180334</x:v>
      </x:c>
    </x:row>
    <x:row r="11">
      <x:c r="R11" s="36" t="n">
        <x:f>'Monthly FP&amp;A'!T5</x:f>
        <x:v>46204</x:v>
      </x:c>
      <x:c r="S11" t="n">
        <x:f>'Monthly FP&amp;A'!T13</x:f>
        <x:v>520860.1053277909</x:v>
      </x:c>
      <x:c r="T11" t="n">
        <x:f>'Monthly FP&amp;A'!T23</x:f>
        <x:v>-217373.05972076382</x:v>
      </x:c>
      <x:c r="U11" t="n">
        <x:f>'Monthly FP&amp;A'!T39</x:f>
        <x:v>-1558994.4038655274</x:v>
      </x:c>
      <x:c r="W11" s="36" t="n">
        <x:f>'Monthly FP&amp;A'!T5</x:f>
        <x:v>46204</x:v>
      </x:c>
      <x:c r="X11" t="n">
        <x:f>'Monthly FP&amp;A'!T13*(1+Assumptions!$B$28)</x:f>
        <x:v>552111.7116474584</x:v>
      </x:c>
      <x:c r="Y11" t="n">
        <x:f>'Monthly FP&amp;A'!T13</x:f>
        <x:v>520860.1053277909</x:v>
      </x:c>
      <x:c r="AE11" t="n">
        <x:f>R11</x:f>
        <x:v>46204</x:v>
      </x:c>
      <x:c r="AF11" t="n">
        <x:f>U11</x:f>
        <x:v>-1558994.4038655274</x:v>
      </x:c>
    </x:row>
    <x:row r="12">
      <x:c r="R12" s="36" t="n">
        <x:f>'Monthly FP&amp;A'!U5</x:f>
        <x:v>46235</x:v>
      </x:c>
      <x:c r="S12" t="n">
        <x:f>'Monthly FP&amp;A'!U13</x:f>
        <x:v>535400.58137429</x:v>
      </x:c>
      <x:c r="T12" t="n">
        <x:f>'Monthly FP&amp;A'!U23</x:f>
        <x:v>-221655.58981305745</x:v>
      </x:c>
      <x:c r="U12" t="n">
        <x:f>'Monthly FP&amp;A'!U39</x:f>
        <x:v>-1808098.2007921312</x:v>
      </x:c>
      <x:c r="W12" s="36" t="n">
        <x:f>'Monthly FP&amp;A'!U5</x:f>
        <x:v>46235</x:v>
      </x:c>
      <x:c r="X12" t="n">
        <x:f>'Monthly FP&amp;A'!U13*(1+Assumptions!$B$28)</x:f>
        <x:v>567524.6162567475</x:v>
      </x:c>
      <x:c r="Y12" t="n">
        <x:f>'Monthly FP&amp;A'!U13</x:f>
        <x:v>535400.58137429</x:v>
      </x:c>
      <x:c r="AE12" t="n">
        <x:f>R12</x:f>
        <x:v>46235</x:v>
      </x:c>
      <x:c r="AF12" t="n">
        <x:f>U12</x:f>
        <x:v>-1808098.2007921312</x:v>
      </x:c>
    </x:row>
    <x:row r="13">
      <x:c r="R13" s="36" t="n">
        <x:f>'Monthly FP&amp;A'!V5</x:f>
        <x:v>46266</x:v>
      </x:c>
      <x:c r="S13" t="n">
        <x:f>'Monthly FP&amp;A'!V13</x:f>
        <x:v>549907.8260172452</x:v>
      </x:c>
      <x:c r="T13" t="n">
        <x:f>'Monthly FP&amp;A'!V23</x:f>
        <x:v>-225991.27299014095</x:v>
      </x:c>
      <x:c r="U13" t="n">
        <x:f>'Monthly FP&amp;A'!V39</x:f>
        <x:v>-2061532.7640209645</x:v>
      </x:c>
      <x:c r="W13" s="36" t="n">
        <x:f>'Monthly FP&amp;A'!V5</x:f>
        <x:v>46266</x:v>
      </x:c>
      <x:c r="X13" t="n">
        <x:f>'Monthly FP&amp;A'!V13*(1+Assumptions!$B$28)</x:f>
        <x:v>582902.2955782799</x:v>
      </x:c>
      <x:c r="Y13" t="n">
        <x:f>'Monthly FP&amp;A'!V13</x:f>
        <x:v>549907.8260172452</x:v>
      </x:c>
      <x:c r="AE13" t="n">
        <x:f>R13</x:f>
        <x:v>46266</x:v>
      </x:c>
      <x:c r="AF13" t="n">
        <x:f>U13</x:f>
        <x:v>-2061532.7640209645</x:v>
      </x:c>
    </x:row>
    <x:row r="14">
      <x:c r="A14" s="23" t="str">
        <x:v>MONTHLY PERFORMANCE | FY2026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R14" s="36" t="n">
        <x:f>'Monthly FP&amp;A'!W5</x:f>
        <x:v>46296</x:v>
      </x:c>
      <x:c r="S14" t="n">
        <x:f>'Monthly FP&amp;A'!W13</x:f>
        <x:v>564382.311985925</x:v>
      </x:c>
      <x:c r="T14" t="n">
        <x:f>'Monthly FP&amp;A'!W23</x:f>
        <x:v>-230380.1676365974</x:v>
      </x:c>
      <x:c r="U14" t="n">
        <x:f>'Monthly FP&amp;A'!W39</x:f>
        <x:v>-2319351.309805219</x:v>
      </x:c>
      <x:c r="W14" s="36" t="n">
        <x:f>'Monthly FP&amp;A'!W5</x:f>
        <x:v>46296</x:v>
      </x:c>
      <x:c r="X14" t="n">
        <x:f>'Monthly FP&amp;A'!W13*(1+Assumptions!$B$28)</x:f>
        <x:v>598245.2507050805</x:v>
      </x:c>
      <x:c r="Y14" t="n">
        <x:f>'Monthly FP&amp;A'!W13</x:f>
        <x:v>564382.311985925</x:v>
      </x:c>
      <x:c r="AE14" t="n">
        <x:f>R14</x:f>
        <x:v>46296</x:v>
      </x:c>
      <x:c r="AF14" t="n">
        <x:f>U14</x:f>
        <x:v>-2319351.309805219</x:v>
      </x:c>
    </x:row>
    <x:row r="15">
      <x:c r="R15" s="36" t="n">
        <x:f>'Monthly FP&amp;A'!X5</x:f>
        <x:v>46327</x:v>
      </x:c>
      <x:c r="S15" t="n">
        <x:f>'Monthly FP&amp;A'!X13</x:f>
        <x:v>578824.5096638821</x:v>
      </x:c>
      <x:c r="T15" t="n">
        <x:f>'Monthly FP&amp;A'!X23</x:f>
        <x:v>-234822.3334743111</x:v>
      </x:c>
      <x:c r="U15" t="n">
        <x:f>'Monthly FP&amp;A'!X39</x:f>
        <x:v>-2581607.113966072</x:v>
      </x:c>
      <x:c r="W15" s="36" t="n">
        <x:f>'Monthly FP&amp;A'!X5</x:f>
        <x:v>46327</x:v>
      </x:c>
      <x:c r="X15" t="n">
        <x:f>'Monthly FP&amp;A'!X13*(1+Assumptions!$B$28)</x:f>
        <x:v>613553.980243715</x:v>
      </x:c>
      <x:c r="Y15" t="n">
        <x:f>'Monthly FP&amp;A'!X13</x:f>
        <x:v>578824.5096638821</x:v>
      </x:c>
      <x:c r="AE15" t="n">
        <x:f>R15</x:f>
        <x:v>46327</x:v>
      </x:c>
      <x:c r="AF15" t="n">
        <x:f>U15</x:f>
        <x:v>-2581607.113966072</x:v>
      </x:c>
    </x:row>
    <x:row r="16">
      <x:c r="R16" s="36" t="n">
        <x:f>'Monthly FP&amp;A'!Y5</x:f>
        <x:v>46357</x:v>
      </x:c>
      <x:c r="S16" t="n">
        <x:f>'Monthly FP&amp;A'!Y13</x:f>
        <x:v>593234.8871083579</x:v>
      </x:c>
      <x:c r="T16" t="n">
        <x:f>'Monthly FP&amp;A'!Y23</x:f>
        <x:v>-239317.83155973844</x:v>
      </x:c>
      <x:c r="U16" t="n">
        <x:f>'Monthly FP&amp;A'!Y39</x:f>
        <x:v>-2848353.5132278656</x:v>
      </x:c>
      <x:c r="W16" s="36" t="n">
        <x:f>'Monthly FP&amp;A'!Y5</x:f>
        <x:v>46357</x:v>
      </x:c>
      <x:c r="X16" t="n">
        <x:f>'Monthly FP&amp;A'!Y13*(1+Assumptions!$B$28)</x:f>
        <x:v>628828.9803348593</x:v>
      </x:c>
      <x:c r="Y16" t="n">
        <x:f>'Monthly FP&amp;A'!Y13</x:f>
        <x:v>593234.8871083579</x:v>
      </x:c>
      <x:c r="AE16" t="n">
        <x:f>R16</x:f>
        <x:v>46357</x:v>
      </x:c>
      <x:c r="AF16" t="n">
        <x:f>U16</x:f>
        <x:v>-2848353.5132278656</x:v>
      </x:c>
    </x:row>
    <x:row r="49">
      <x:c r="A49" s="23" t="str">
        <x:v>MANAGEMENT WATCHLIST</x:v>
      </x:c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</x:row>
    <x:row r="50">
      <x:c r="A50" t="str">
        <x:v>• Monitor revenue growth versus plan and customer churn.</x:v>
      </x:c>
    </x:row>
    <x:row r="51">
      <x:c r="A51" t="str">
        <x:v>• Prioritise cash conversion, acquisition efficiency and headcount productivity.</x:v>
      </x:c>
    </x:row>
    <x:row r="52">
      <x:c r="A52" t="str">
        <x:v>• Use the Management Commentary sheet for linked executive observations.</x:v>
      </x:c>
    </x:row>
    <x:row r="53">
      <x:c r="A53" t="str">
        <x:v>• Illustrative model: metrics and balance-sheet representation are simplified.</x:v>
      </x:c>
    </x:row>
  </x:sheetData>
  <x:mergeCells>
    <x:mergeCell ref="A1:P2"/>
    <x:mergeCell ref="A3:P3"/>
    <x:mergeCell ref="A50:P50"/>
    <x:mergeCell ref="A51:P51"/>
    <x:mergeCell ref="A52:P52"/>
    <x:mergeCell ref="A53:P53"/>
  </x:mergeCells>
  <x:pageMargins left="0.7" right="0.7" top="0.75" bottom="0.75" header="0.3" footer="0.3"/>
  <x:drawing xmlns:r="http://schemas.openxmlformats.org/officeDocument/2006/relationships" r:id="Rbfd5d10e219f479f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" t="str">
        <x:v>OPERATING ASSUMPTIONS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7" t="str">
        <x:v>Fictional company: Northstar Cloud | USD | Blue cells are editable inputs</x:v>
      </x:c>
      <x:c r="B3" s="7"/>
      <x:c r="C3" s="7"/>
      <x:c r="D3" s="7"/>
      <x:c r="E3" s="7"/>
      <x:c r="F3" s="7"/>
      <x:c r="G3" s="7"/>
      <x:c r="H3" s="7"/>
    </x:row>
    <x:row r="6">
      <x:c r="A6" t="str">
        <x:v>Starting customers (Jan 2025)</x:v>
      </x:c>
      <x:c r="B6" s="11" t="n">
        <x:v>850</x:v>
      </x:c>
    </x:row>
    <x:row r="7">
      <x:c r="A7" t="str">
        <x:v>Monthly new customers</x:v>
      </x:c>
      <x:c r="B7" s="11" t="n">
        <x:v>48</x:v>
      </x:c>
    </x:row>
    <x:row r="8">
      <x:c r="A8" t="str">
        <x:v>Monthly logo churn</x:v>
      </x:c>
      <x:c r="B8" s="14" t="n">
        <x:v>0.012</x:v>
      </x:c>
    </x:row>
    <x:row r="9">
      <x:c r="A9" t="str">
        <x:v>Starting ARPU / month</x:v>
      </x:c>
      <x:c r="B9" s="11" t="n">
        <x:v>320</x:v>
      </x:c>
    </x:row>
    <x:row r="10">
      <x:c r="A10" t="str">
        <x:v>Annual price uplift</x:v>
      </x:c>
      <x:c r="B10" s="14" t="n">
        <x:v>0.045</x:v>
      </x:c>
    </x:row>
    <x:row r="11">
      <x:c r="A11" t="str">
        <x:v>Cost of service % revenue</x:v>
      </x:c>
      <x:c r="B11" s="14" t="n">
        <x:v>0.19</x:v>
      </x:c>
    </x:row>
    <x:row r="12">
      <x:c r="A12" t="str">
        <x:v>Sales &amp; marketing % revenue</x:v>
      </x:c>
      <x:c r="B12" s="14" t="n">
        <x:v>0.23</x:v>
      </x:c>
    </x:row>
    <x:row r="13">
      <x:c r="A13" t="str">
        <x:v>G&amp;A % revenue</x:v>
      </x:c>
      <x:c r="B13" s="14" t="n">
        <x:v>0.13</x:v>
      </x:c>
    </x:row>
    <x:row r="14">
      <x:c r="A14" t="str">
        <x:v>R&amp;D % revenue</x:v>
      </x:c>
      <x:c r="B14" s="14" t="n">
        <x:v>0.18</x:v>
      </x:c>
    </x:row>
    <x:row r="15">
      <x:c r="A15" t="str">
        <x:v>Opening headcount</x:v>
      </x:c>
      <x:c r="B15" s="11" t="n">
        <x:v>32</x:v>
      </x:c>
    </x:row>
    <x:row r="16">
      <x:c r="A16" t="str">
        <x:v>Monthly hires</x:v>
      </x:c>
      <x:c r="B16" s="11" t="n">
        <x:v>1</x:v>
      </x:c>
    </x:row>
    <x:row r="17">
      <x:c r="A17" t="str">
        <x:v>Monthly salary per employee</x:v>
      </x:c>
      <x:c r="B17" s="11" t="n">
        <x:v>6800</x:v>
      </x:c>
    </x:row>
    <x:row r="18">
      <x:c r="A18" t="str">
        <x:v>Annual salary inflation</x:v>
      </x:c>
      <x:c r="B18" s="14" t="n">
        <x:v>0.035</x:v>
      </x:c>
    </x:row>
    <x:row r="19">
      <x:c r="A19" t="str">
        <x:v>Opening cash</x:v>
      </x:c>
      <x:c r="B19" s="11" t="n">
        <x:v>2400000</x:v>
      </x:c>
    </x:row>
    <x:row r="20">
      <x:c r="A20" t="str">
        <x:v>Monthly capex</x:v>
      </x:c>
      <x:c r="B20" s="11" t="n">
        <x:v>18000</x:v>
      </x:c>
    </x:row>
    <x:row r="21">
      <x:c r="A21" t="str">
        <x:v>Annual tax rate</x:v>
      </x:c>
      <x:c r="B21" s="14" t="n">
        <x:v>0.25</x:v>
      </x:c>
    </x:row>
    <x:row r="22">
      <x:c r="A22" t="str">
        <x:v>Monthly depreciation</x:v>
      </x:c>
      <x:c r="B22" s="11" t="n">
        <x:v>12000</x:v>
      </x:c>
    </x:row>
    <x:row r="23">
      <x:c r="A23" t="str">
        <x:v>Monthly interest expense</x:v>
      </x:c>
      <x:c r="B23" s="11" t="n">
        <x:v>3000</x:v>
      </x:c>
    </x:row>
    <x:row r="24">
      <x:c r="A24" t="str">
        <x:v>Receivables % revenue</x:v>
      </x:c>
      <x:c r="B24" s="14" t="n">
        <x:v>0.1</x:v>
      </x:c>
    </x:row>
    <x:row r="25">
      <x:c r="A25" t="str">
        <x:v>Payables % cash operating costs</x:v>
      </x:c>
      <x:c r="B25" s="14" t="n">
        <x:v>0.08</x:v>
      </x:c>
    </x:row>
    <x:row r="26">
      <x:c r="A26" t="str">
        <x:v>Starting debt</x:v>
      </x:c>
      <x:c r="B26" s="11" t="n">
        <x:v>450000</x:v>
      </x:c>
    </x:row>
    <x:row r="27">
      <x:c r="A27" t="str">
        <x:v>Monthly principal repayment</x:v>
      </x:c>
      <x:c r="B27" s="11" t="n">
        <x:v>6500</x:v>
      </x:c>
    </x:row>
    <x:row r="28">
      <x:c r="A28" t="str">
        <x:v>Budget revenue uplift vs base</x:v>
      </x:c>
      <x:c r="B28" s="14" t="n">
        <x:v>0.06</x:v>
      </x:c>
    </x:row>
    <x:row r="29">
      <x:c r="A29" t="str">
        <x:v>Budget expense factor vs base</x:v>
      </x:c>
      <x:c r="B29" s="14" t="n">
        <x:v>0.97</x:v>
      </x:c>
    </x:row>
    <x:row r="30">
      <x:c r="A30" t="str">
        <x:v>Actual revenue variance vs budget</x:v>
      </x:c>
      <x:c r="B30" s="14" t="n">
        <x:v>-0.025</x:v>
      </x:c>
    </x:row>
    <x:row r="31">
      <x:c r="A31" t="str">
        <x:v>Actual expense variance vs budget</x:v>
      </x:c>
      <x:c r="B31" s="14" t="n">
        <x:v>0.025</x:v>
      </x:c>
    </x:row>
    <x:row r="32">
      <x:c r="A32" t="str">
        <x:v>Forecast new customer uplift</x:v>
      </x:c>
      <x:c r="B32" s="14" t="n">
        <x:v>0.1</x:v>
      </x:c>
    </x:row>
    <x:row r="33">
      <x:c r="A33" t="str">
        <x:v>Forecast churn improvement</x:v>
      </x:c>
      <x:c r="B33" s="14" t="n">
        <x:v>0.0015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24" customHeight="1">
      <x:c r="A1" s="3" t="str">
        <x:v>MONTHLY FINANCIAL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3" ht="25" customHeight="1">
      <x:c r="A3" s="7" t="str">
        <x:v>2025 illustrative actuals | 2026-2027 forecast | USD unless otherwise indicated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5">
      <x:c r="A5" s="23" t="str">
        <x:v>Monthly operating build</x:v>
      </x:c>
      <x:c r="B5" s="24" t="n">
        <x:v>45658</x:v>
      </x:c>
      <x:c r="C5" s="24" t="n">
        <x:v>45689</x:v>
      </x:c>
      <x:c r="D5" s="24" t="n">
        <x:v>45717</x:v>
      </x:c>
      <x:c r="E5" s="24" t="n">
        <x:v>45748</x:v>
      </x:c>
      <x:c r="F5" s="24" t="n">
        <x:v>45778</x:v>
      </x:c>
      <x:c r="G5" s="24" t="n">
        <x:v>45809</x:v>
      </x:c>
      <x:c r="H5" s="24" t="n">
        <x:v>45839</x:v>
      </x:c>
      <x:c r="I5" s="24" t="n">
        <x:v>45870</x:v>
      </x:c>
      <x:c r="J5" s="24" t="n">
        <x:v>45901</x:v>
      </x:c>
      <x:c r="K5" s="24" t="n">
        <x:v>45931</x:v>
      </x:c>
      <x:c r="L5" s="24" t="n">
        <x:v>45962</x:v>
      </x:c>
      <x:c r="M5" s="24" t="n">
        <x:v>45992</x:v>
      </x:c>
      <x:c r="N5" s="24" t="n">
        <x:v>46023</x:v>
      </x:c>
      <x:c r="O5" s="24" t="n">
        <x:v>46054</x:v>
      </x:c>
      <x:c r="P5" s="24" t="n">
        <x:v>46082</x:v>
      </x:c>
      <x:c r="Q5" s="24" t="n">
        <x:v>46113</x:v>
      </x:c>
      <x:c r="R5" s="24" t="n">
        <x:v>46143</x:v>
      </x:c>
      <x:c r="S5" s="24" t="n">
        <x:v>46174</x:v>
      </x:c>
      <x:c r="T5" s="24" t="n">
        <x:v>46204</x:v>
      </x:c>
      <x:c r="U5" s="24" t="n">
        <x:v>46235</x:v>
      </x:c>
      <x:c r="V5" s="24" t="n">
        <x:v>46266</x:v>
      </x:c>
      <x:c r="W5" s="24" t="n">
        <x:v>46296</x:v>
      </x:c>
      <x:c r="X5" s="24" t="n">
        <x:v>46327</x:v>
      </x:c>
      <x:c r="Y5" s="24" t="n">
        <x:v>46357</x:v>
      </x:c>
      <x:c r="Z5" s="24" t="n">
        <x:v>46388</x:v>
      </x:c>
      <x:c r="AA5" s="24" t="n">
        <x:v>46419</x:v>
      </x:c>
      <x:c r="AB5" s="24" t="n">
        <x:v>46447</x:v>
      </x:c>
      <x:c r="AC5" s="24" t="n">
        <x:v>46478</x:v>
      </x:c>
      <x:c r="AD5" s="24" t="n">
        <x:v>46508</x:v>
      </x:c>
      <x:c r="AE5" s="24" t="n">
        <x:v>46539</x:v>
      </x:c>
      <x:c r="AF5" s="24" t="n">
        <x:v>46569</x:v>
      </x:c>
      <x:c r="AG5" s="24" t="n">
        <x:v>46600</x:v>
      </x:c>
      <x:c r="AH5" s="24" t="n">
        <x:v>46631</x:v>
      </x:c>
      <x:c r="AI5" s="24" t="n">
        <x:v>46661</x:v>
      </x:c>
      <x:c r="AJ5" s="24" t="n">
        <x:v>46692</x:v>
      </x:c>
      <x:c r="AK5" s="24" t="n">
        <x:v>46722</x:v>
      </x:c>
    </x:row>
    <x:row r="6">
      <x:c r="A6" t="str">
        <x:v>Period</x:v>
      </x:c>
      <x:c r="B6" t="str">
        <x:v>ACTUAL</x:v>
      </x:c>
      <x:c r="C6" t="str">
        <x:v>ACTUAL</x:v>
      </x:c>
      <x:c r="D6" t="str">
        <x:v>ACTUAL</x:v>
      </x:c>
      <x:c r="E6" t="str">
        <x:v>ACTUAL</x:v>
      </x:c>
      <x:c r="F6" t="str">
        <x:v>ACTUAL</x:v>
      </x:c>
      <x:c r="G6" t="str">
        <x:v>ACTUAL</x:v>
      </x:c>
      <x:c r="H6" t="str">
        <x:v>ACTUAL</x:v>
      </x:c>
      <x:c r="I6" t="str">
        <x:v>ACTUAL</x:v>
      </x:c>
      <x:c r="J6" t="str">
        <x:v>ACTUAL</x:v>
      </x:c>
      <x:c r="K6" t="str">
        <x:v>ACTUAL</x:v>
      </x:c>
      <x:c r="L6" t="str">
        <x:v>ACTUAL</x:v>
      </x:c>
      <x:c r="M6" t="str">
        <x:v>ACTUAL</x:v>
      </x:c>
      <x:c r="N6" t="str">
        <x:v>FORECAST</x:v>
      </x:c>
      <x:c r="O6" t="str">
        <x:v>FORECAST</x:v>
      </x:c>
      <x:c r="P6" t="str">
        <x:v>FORECAST</x:v>
      </x:c>
      <x:c r="Q6" t="str">
        <x:v>FORECAST</x:v>
      </x:c>
      <x:c r="R6" t="str">
        <x:v>FORECAST</x:v>
      </x:c>
      <x:c r="S6" t="str">
        <x:v>FORECAST</x:v>
      </x:c>
      <x:c r="T6" t="str">
        <x:v>FORECAST</x:v>
      </x:c>
      <x:c r="U6" t="str">
        <x:v>FORECAST</x:v>
      </x:c>
      <x:c r="V6" t="str">
        <x:v>FORECAST</x:v>
      </x:c>
      <x:c r="W6" t="str">
        <x:v>FORECAST</x:v>
      </x:c>
      <x:c r="X6" t="str">
        <x:v>FORECAST</x:v>
      </x:c>
      <x:c r="Y6" t="str">
        <x:v>FORECAST</x:v>
      </x:c>
      <x:c r="Z6" t="str">
        <x:v>FORECAST</x:v>
      </x:c>
      <x:c r="AA6" t="str">
        <x:v>FORECAST</x:v>
      </x:c>
      <x:c r="AB6" t="str">
        <x:v>FORECAST</x:v>
      </x:c>
      <x:c r="AC6" t="str">
        <x:v>FORECAST</x:v>
      </x:c>
      <x:c r="AD6" t="str">
        <x:v>FORECAST</x:v>
      </x:c>
      <x:c r="AE6" t="str">
        <x:v>FORECAST</x:v>
      </x:c>
      <x:c r="AF6" t="str">
        <x:v>FORECAST</x:v>
      </x:c>
      <x:c r="AG6" t="str">
        <x:v>FORECAST</x:v>
      </x:c>
      <x:c r="AH6" t="str">
        <x:v>FORECAST</x:v>
      </x:c>
      <x:c r="AI6" t="str">
        <x:v>FORECAST</x:v>
      </x:c>
      <x:c r="AJ6" t="str">
        <x:v>FORECAST</x:v>
      </x:c>
      <x:c r="AK6" t="str">
        <x:v>FORECAST</x:v>
      </x:c>
    </x:row>
    <x:row r="7">
      <x:c r="A7" t="str">
        <x:v>Opening customers</x:v>
      </x:c>
      <x:c r="B7" t="n">
        <x:f>Assumptions!$B$6</x:f>
        <x:v>850</x:v>
      </x:c>
      <x:c r="C7" t="n">
        <x:f>B10</x:f>
        <x:v>887.8</x:v>
      </x:c>
      <x:c r="D7" t="n">
        <x:f>C10</x:f>
        <x:v>925.1464</x:v>
      </x:c>
      <x:c r="E7" t="n">
        <x:f>D10</x:f>
        <x:v>962.0446432</x:v>
      </x:c>
      <x:c r="F7" t="n">
        <x:f>E10</x:f>
        <x:v>998.5001074816</x:v>
      </x:c>
      <x:c r="G7" t="n">
        <x:f>F10</x:f>
        <x:v>1034.5181061918208</x:v>
      </x:c>
      <x:c r="H7" t="n">
        <x:f>G10</x:f>
        <x:v>1070.103888917519</x:v>
      </x:c>
      <x:c r="I7" t="n">
        <x:f>H10</x:f>
        <x:v>1105.2626422505089</x:v>
      </x:c>
      <x:c r="J7" t="n">
        <x:f>I10</x:f>
        <x:v>1139.9994905435028</x:v>
      </x:c>
      <x:c r="K7" t="n">
        <x:f>J10</x:f>
        <x:v>1174.3194966569808</x:v>
      </x:c>
      <x:c r="L7" t="n">
        <x:f>K10</x:f>
        <x:v>1208.227662697097</x:v>
      </x:c>
      <x:c r="M7" t="n">
        <x:f>L10</x:f>
        <x:v>1241.7289307447318</x:v>
      </x:c>
      <x:c r="N7" t="n">
        <x:f>M10</x:f>
        <x:v>1274.828183575795</x:v>
      </x:c>
      <x:c r="O7" t="n">
        <x:f>N10</x:f>
        <x:v>1314.2424876482492</x:v>
      </x:c>
      <x:c r="P7" t="n">
        <x:f>O10</x:f>
        <x:v>1353.2429415279425</x:v>
      </x:c>
      <x:c r="Q7" t="n">
        <x:f>P10</x:f>
        <x:v>1391.8338906418992</x:v>
      </x:c>
      <x:c r="R7" t="n">
        <x:f>Q10</x:f>
        <x:v>1430.0196347901592</x:v>
      </x:c>
      <x:c r="S7" t="n">
        <x:f>R10</x:f>
        <x:v>1467.8044286248626</x:v>
      </x:c>
      <x:c r="T7" t="n">
        <x:f>S10</x:f>
        <x:v>1505.1924821243015</x:v>
      </x:c>
      <x:c r="U7" t="n">
        <x:f>T10</x:f>
        <x:v>1542.1879610619962</x:v>
      </x:c>
      <x:c r="V7" t="n">
        <x:f>U10</x:f>
        <x:v>1578.7949874708452</x:v>
      </x:c>
      <x:c r="W7" t="n">
        <x:f>V10</x:f>
        <x:v>1615.0176401024012</x:v>
      </x:c>
      <x:c r="X7" t="n">
        <x:f>W10</x:f>
        <x:v>1650.8599548813258</x:v>
      </x:c>
      <x:c r="Y7" t="n">
        <x:f>X10</x:f>
        <x:v>1686.3259253550718</x:v>
      </x:c>
      <x:c r="Z7" t="n">
        <x:f>Y10</x:f>
        <x:v>1721.4195031388435</x:v>
      </x:c>
      <x:c r="AA7" t="n">
        <x:f>Z10</x:f>
        <x:v>1756.1445983558856</x:v>
      </x:c>
      <x:c r="AB7" t="n">
        <x:f>AA10</x:f>
        <x:v>1790.5050800731487</x:v>
      </x:c>
      <x:c r="AC7" t="n">
        <x:f>AB10</x:f>
        <x:v>1824.5047767323806</x:v>
      </x:c>
      <x:c r="AD7" t="n">
        <x:f>AC10</x:f>
        <x:v>1858.1474765766905</x:v>
      </x:c>
      <x:c r="AE7" t="n">
        <x:f>AD10</x:f>
        <x:v>1891.436928072635</x:v>
      </x:c>
      <x:c r="AF7" t="n">
        <x:f>AE10</x:f>
        <x:v>1924.3768403278723</x:v>
      </x:c>
      <x:c r="AG7" t="n">
        <x:f>AF10</x:f>
        <x:v>1956.9708835044296</x:v>
      </x:c>
      <x:c r="AH7" t="n">
        <x:f>AG10</x:f>
        <x:v>1989.222689227633</x:v>
      </x:c>
      <x:c r="AI7" t="n">
        <x:f>AH10</x:f>
        <x:v>2021.135850990743</x:v>
      </x:c>
      <x:c r="AJ7" t="n">
        <x:f>AI10</x:f>
        <x:v>2052.71392455534</x:v>
      </x:c>
      <x:c r="AK7" t="n">
        <x:f>AJ10</x:f>
        <x:v>2083.960428347509</x:v>
      </x:c>
    </x:row>
    <x:row r="8">
      <x:c r="A8" t="str">
        <x:v>New customers</x:v>
      </x:c>
      <x:c r="B8" t="n">
        <x:f>Assumptions!$B$7*1</x:f>
        <x:v>48</x:v>
      </x:c>
      <x:c r="C8" t="n">
        <x:f>Assumptions!$B$7*1</x:f>
        <x:v>48</x:v>
      </x:c>
      <x:c r="D8" t="n">
        <x:f>Assumptions!$B$7*1</x:f>
        <x:v>48</x:v>
      </x:c>
      <x:c r="E8" t="n">
        <x:f>Assumptions!$B$7*1</x:f>
        <x:v>48</x:v>
      </x:c>
      <x:c r="F8" t="n">
        <x:f>Assumptions!$B$7*1</x:f>
        <x:v>48</x:v>
      </x:c>
      <x:c r="G8" t="n">
        <x:f>Assumptions!$B$7*1</x:f>
        <x:v>48</x:v>
      </x:c>
      <x:c r="H8" t="n">
        <x:f>Assumptions!$B$7*1</x:f>
        <x:v>48</x:v>
      </x:c>
      <x:c r="I8" t="n">
        <x:f>Assumptions!$B$7*1</x:f>
        <x:v>48</x:v>
      </x:c>
      <x:c r="J8" t="n">
        <x:f>Assumptions!$B$7*1</x:f>
        <x:v>48</x:v>
      </x:c>
      <x:c r="K8" t="n">
        <x:f>Assumptions!$B$7*1</x:f>
        <x:v>48</x:v>
      </x:c>
      <x:c r="L8" t="n">
        <x:f>Assumptions!$B$7*1</x:f>
        <x:v>48</x:v>
      </x:c>
      <x:c r="M8" t="n">
        <x:f>Assumptions!$B$7*1</x:f>
        <x:v>48</x:v>
      </x:c>
      <x:c r="N8" t="n">
        <x:f>Assumptions!$B$7*(1+Assumptions!$B$32)</x:f>
        <x:v>52.800000000000004</x:v>
      </x:c>
      <x:c r="O8" t="n">
        <x:f>Assumptions!$B$7*(1+Assumptions!$B$32)</x:f>
        <x:v>52.800000000000004</x:v>
      </x:c>
      <x:c r="P8" t="n">
        <x:f>Assumptions!$B$7*(1+Assumptions!$B$32)</x:f>
        <x:v>52.800000000000004</x:v>
      </x:c>
      <x:c r="Q8" t="n">
        <x:f>Assumptions!$B$7*(1+Assumptions!$B$32)</x:f>
        <x:v>52.800000000000004</x:v>
      </x:c>
      <x:c r="R8" t="n">
        <x:f>Assumptions!$B$7*(1+Assumptions!$B$32)</x:f>
        <x:v>52.800000000000004</x:v>
      </x:c>
      <x:c r="S8" t="n">
        <x:f>Assumptions!$B$7*(1+Assumptions!$B$32)</x:f>
        <x:v>52.800000000000004</x:v>
      </x:c>
      <x:c r="T8" t="n">
        <x:f>Assumptions!$B$7*(1+Assumptions!$B$32)</x:f>
        <x:v>52.800000000000004</x:v>
      </x:c>
      <x:c r="U8" t="n">
        <x:f>Assumptions!$B$7*(1+Assumptions!$B$32)</x:f>
        <x:v>52.800000000000004</x:v>
      </x:c>
      <x:c r="V8" t="n">
        <x:f>Assumptions!$B$7*(1+Assumptions!$B$32)</x:f>
        <x:v>52.800000000000004</x:v>
      </x:c>
      <x:c r="W8" t="n">
        <x:f>Assumptions!$B$7*(1+Assumptions!$B$32)</x:f>
        <x:v>52.800000000000004</x:v>
      </x:c>
      <x:c r="X8" t="n">
        <x:f>Assumptions!$B$7*(1+Assumptions!$B$32)</x:f>
        <x:v>52.800000000000004</x:v>
      </x:c>
      <x:c r="Y8" t="n">
        <x:f>Assumptions!$B$7*(1+Assumptions!$B$32)</x:f>
        <x:v>52.800000000000004</x:v>
      </x:c>
      <x:c r="Z8" t="n">
        <x:f>Assumptions!$B$7*(1+Assumptions!$B$32)</x:f>
        <x:v>52.800000000000004</x:v>
      </x:c>
      <x:c r="AA8" t="n">
        <x:f>Assumptions!$B$7*(1+Assumptions!$B$32)</x:f>
        <x:v>52.800000000000004</x:v>
      </x:c>
      <x:c r="AB8" t="n">
        <x:f>Assumptions!$B$7*(1+Assumptions!$B$32)</x:f>
        <x:v>52.800000000000004</x:v>
      </x:c>
      <x:c r="AC8" t="n">
        <x:f>Assumptions!$B$7*(1+Assumptions!$B$32)</x:f>
        <x:v>52.800000000000004</x:v>
      </x:c>
      <x:c r="AD8" t="n">
        <x:f>Assumptions!$B$7*(1+Assumptions!$B$32)</x:f>
        <x:v>52.800000000000004</x:v>
      </x:c>
      <x:c r="AE8" t="n">
        <x:f>Assumptions!$B$7*(1+Assumptions!$B$32)</x:f>
        <x:v>52.800000000000004</x:v>
      </x:c>
      <x:c r="AF8" t="n">
        <x:f>Assumptions!$B$7*(1+Assumptions!$B$32)</x:f>
        <x:v>52.800000000000004</x:v>
      </x:c>
      <x:c r="AG8" t="n">
        <x:f>Assumptions!$B$7*(1+Assumptions!$B$32)</x:f>
        <x:v>52.800000000000004</x:v>
      </x:c>
      <x:c r="AH8" t="n">
        <x:f>Assumptions!$B$7*(1+Assumptions!$B$32)</x:f>
        <x:v>52.800000000000004</x:v>
      </x:c>
      <x:c r="AI8" t="n">
        <x:f>Assumptions!$B$7*(1+Assumptions!$B$32)</x:f>
        <x:v>52.800000000000004</x:v>
      </x:c>
      <x:c r="AJ8" t="n">
        <x:f>Assumptions!$B$7*(1+Assumptions!$B$32)</x:f>
        <x:v>52.800000000000004</x:v>
      </x:c>
      <x:c r="AK8" t="n">
        <x:f>Assumptions!$B$7*(1+Assumptions!$B$32)</x:f>
        <x:v>52.800000000000004</x:v>
      </x:c>
    </x:row>
    <x:row r="9">
      <x:c r="A9" t="str">
        <x:v>Churned customers</x:v>
      </x:c>
      <x:c r="B9" t="n">
        <x:f>B7*MAX(0,Assumptions!$B$8-0)</x:f>
        <x:v>10.200000000000001</x:v>
      </x:c>
      <x:c r="C9" t="n">
        <x:f>C7*MAX(0,Assumptions!$B$8-0)</x:f>
        <x:v>10.653599999999999</x:v>
      </x:c>
      <x:c r="D9" t="n">
        <x:f>D7*MAX(0,Assumptions!$B$8-0)</x:f>
        <x:v>11.1017568</x:v>
      </x:c>
      <x:c r="E9" t="n">
        <x:f>E7*MAX(0,Assumptions!$B$8-0)</x:f>
        <x:v>11.5445357184</x:v>
      </x:c>
      <x:c r="F9" t="n">
        <x:f>F7*MAX(0,Assumptions!$B$8-0)</x:f>
        <x:v>11.9820012897792</x:v>
      </x:c>
      <x:c r="G9" t="n">
        <x:f>G7*MAX(0,Assumptions!$B$8-0)</x:f>
        <x:v>12.41421727430185</x:v>
      </x:c>
      <x:c r="H9" t="n">
        <x:f>H7*MAX(0,Assumptions!$B$8-0)</x:f>
        <x:v>12.841246667010228</x:v>
      </x:c>
      <x:c r="I9" t="n">
        <x:f>I7*MAX(0,Assumptions!$B$8-0)</x:f>
        <x:v>13.263151707006106</x:v>
      </x:c>
      <x:c r="J9" t="n">
        <x:f>J7*MAX(0,Assumptions!$B$8-0)</x:f>
        <x:v>13.679993886522034</x:v>
      </x:c>
      <x:c r="K9" t="n">
        <x:f>K7*MAX(0,Assumptions!$B$8-0)</x:f>
        <x:v>14.09183395988377</x:v>
      </x:c>
      <x:c r="L9" t="n">
        <x:f>L7*MAX(0,Assumptions!$B$8-0)</x:f>
        <x:v>14.498731952365164</x:v>
      </x:c>
      <x:c r="M9" t="n">
        <x:f>M7*MAX(0,Assumptions!$B$8-0)</x:f>
        <x:v>14.900747168936782</x:v>
      </x:c>
      <x:c r="N9" t="n">
        <x:f>N7*MAX(0,Assumptions!$B$8-Assumptions!$B$33)</x:f>
        <x:v>13.385695927545848</x:v>
      </x:c>
      <x:c r="O9" t="n">
        <x:f>O7*MAX(0,Assumptions!$B$8-Assumptions!$B$33)</x:f>
        <x:v>13.799546120306617</x:v>
      </x:c>
      <x:c r="P9" t="n">
        <x:f>P7*MAX(0,Assumptions!$B$8-Assumptions!$B$33)</x:f>
        <x:v>14.209050886043398</x:v>
      </x:c>
      <x:c r="Q9" t="n">
        <x:f>Q7*MAX(0,Assumptions!$B$8-Assumptions!$B$33)</x:f>
        <x:v>14.614255851739943</x:v>
      </x:c>
      <x:c r="R9" t="n">
        <x:f>R7*MAX(0,Assumptions!$B$8-Assumptions!$B$33)</x:f>
        <x:v>15.015206165296673</x:v>
      </x:c>
      <x:c r="S9" t="n">
        <x:f>S7*MAX(0,Assumptions!$B$8-Assumptions!$B$33)</x:f>
        <x:v>15.411946500561058</x:v>
      </x:c>
      <x:c r="T9" t="n">
        <x:f>T7*MAX(0,Assumptions!$B$8-Assumptions!$B$33)</x:f>
        <x:v>15.804521062305167</x:v>
      </x:c>
      <x:c r="U9" t="n">
        <x:f>U7*MAX(0,Assumptions!$B$8-Assumptions!$B$33)</x:f>
        <x:v>16.192973591150963</x:v>
      </x:c>
      <x:c r="V9" t="n">
        <x:f>V7*MAX(0,Assumptions!$B$8-Assumptions!$B$33)</x:f>
        <x:v>16.577347368443874</x:v>
      </x:c>
      <x:c r="W9" t="n">
        <x:f>W7*MAX(0,Assumptions!$B$8-Assumptions!$B$33)</x:f>
        <x:v>16.957685221075213</x:v>
      </x:c>
      <x:c r="X9" t="n">
        <x:f>X7*MAX(0,Assumptions!$B$8-Assumptions!$B$33)</x:f>
        <x:v>17.33402952625392</x:v>
      </x:c>
      <x:c r="Y9" t="n">
        <x:f>Y7*MAX(0,Assumptions!$B$8-Assumptions!$B$33)</x:f>
        <x:v>17.706422216228255</x:v>
      </x:c>
      <x:c r="Z9" t="n">
        <x:f>Z7*MAX(0,Assumptions!$B$8-Assumptions!$B$33)</x:f>
        <x:v>18.07490478295786</x:v>
      </x:c>
      <x:c r="AA9" t="n">
        <x:f>AA7*MAX(0,Assumptions!$B$8-Assumptions!$B$33)</x:f>
        <x:v>18.4395182827368</x:v>
      </x:c>
      <x:c r="AB9" t="n">
        <x:f>AB7*MAX(0,Assumptions!$B$8-Assumptions!$B$33)</x:f>
        <x:v>18.800303340768064</x:v>
      </x:c>
      <x:c r="AC9" t="n">
        <x:f>AC7*MAX(0,Assumptions!$B$8-Assumptions!$B$33)</x:f>
        <x:v>19.15730015569</x:v>
      </x:c>
      <x:c r="AD9" t="n">
        <x:f>AD7*MAX(0,Assumptions!$B$8-Assumptions!$B$33)</x:f>
        <x:v>19.51054850405525</x:v>
      </x:c>
      <x:c r="AE9" t="n">
        <x:f>AE7*MAX(0,Assumptions!$B$8-Assumptions!$B$33)</x:f>
        <x:v>19.86008774476267</x:v>
      </x:c>
      <x:c r="AF9" t="n">
        <x:f>AF7*MAX(0,Assumptions!$B$8-Assumptions!$B$33)</x:f>
        <x:v>20.20595682344266</x:v>
      </x:c>
      <x:c r="AG9" t="n">
        <x:f>AG7*MAX(0,Assumptions!$B$8-Assumptions!$B$33)</x:f>
        <x:v>20.54819427679651</x:v>
      </x:c>
      <x:c r="AH9" t="n">
        <x:f>AH7*MAX(0,Assumptions!$B$8-Assumptions!$B$33)</x:f>
        <x:v>20.88683823689015</x:v>
      </x:c>
      <x:c r="AI9" t="n">
        <x:f>AI7*MAX(0,Assumptions!$B$8-Assumptions!$B$33)</x:f>
        <x:v>21.221926435402803</x:v>
      </x:c>
      <x:c r="AJ9" t="n">
        <x:f>AJ7*MAX(0,Assumptions!$B$8-Assumptions!$B$33)</x:f>
        <x:v>21.55349620783107</x:v>
      </x:c>
      <x:c r="AK9" t="n">
        <x:f>AK7*MAX(0,Assumptions!$B$8-Assumptions!$B$33)</x:f>
        <x:v>21.88158449764885</x:v>
      </x:c>
    </x:row>
    <x:row r="10">
      <x:c r="A10" t="str">
        <x:v>Closing customers</x:v>
      </x:c>
      <x:c r="B10" t="n">
        <x:f>B7+B8-B9</x:f>
        <x:v>887.8</x:v>
      </x:c>
      <x:c r="C10" t="n">
        <x:f>C7+C8-C9</x:f>
        <x:v>925.1464</x:v>
      </x:c>
      <x:c r="D10" t="n">
        <x:f>D7+D8-D9</x:f>
        <x:v>962.0446432</x:v>
      </x:c>
      <x:c r="E10" t="n">
        <x:f>E7+E8-E9</x:f>
        <x:v>998.5001074816</x:v>
      </x:c>
      <x:c r="F10" t="n">
        <x:f>F7+F8-F9</x:f>
        <x:v>1034.5181061918208</x:v>
      </x:c>
      <x:c r="G10" t="n">
        <x:f>G7+G8-G9</x:f>
        <x:v>1070.103888917519</x:v>
      </x:c>
      <x:c r="H10" t="n">
        <x:f>H7+H8-H9</x:f>
        <x:v>1105.2626422505089</x:v>
      </x:c>
      <x:c r="I10" t="n">
        <x:f>I7+I8-I9</x:f>
        <x:v>1139.9994905435028</x:v>
      </x:c>
      <x:c r="J10" t="n">
        <x:f>J7+J8-J9</x:f>
        <x:v>1174.3194966569808</x:v>
      </x:c>
      <x:c r="K10" t="n">
        <x:f>K7+K8-K9</x:f>
        <x:v>1208.227662697097</x:v>
      </x:c>
      <x:c r="L10" t="n">
        <x:f>L7+L8-L9</x:f>
        <x:v>1241.7289307447318</x:v>
      </x:c>
      <x:c r="M10" t="n">
        <x:f>M7+M8-M9</x:f>
        <x:v>1274.828183575795</x:v>
      </x:c>
      <x:c r="N10" t="n">
        <x:f>N7+N8-N9</x:f>
        <x:v>1314.2424876482492</x:v>
      </x:c>
      <x:c r="O10" t="n">
        <x:f>O7+O8-O9</x:f>
        <x:v>1353.2429415279425</x:v>
      </x:c>
      <x:c r="P10" t="n">
        <x:f>P7+P8-P9</x:f>
        <x:v>1391.8338906418992</x:v>
      </x:c>
      <x:c r="Q10" t="n">
        <x:f>Q7+Q8-Q9</x:f>
        <x:v>1430.0196347901592</x:v>
      </x:c>
      <x:c r="R10" t="n">
        <x:f>R7+R8-R9</x:f>
        <x:v>1467.8044286248626</x:v>
      </x:c>
      <x:c r="S10" t="n">
        <x:f>S7+S8-S9</x:f>
        <x:v>1505.1924821243015</x:v>
      </x:c>
      <x:c r="T10" t="n">
        <x:f>T7+T8-T9</x:f>
        <x:v>1542.1879610619962</x:v>
      </x:c>
      <x:c r="U10" t="n">
        <x:f>U7+U8-U9</x:f>
        <x:v>1578.7949874708452</x:v>
      </x:c>
      <x:c r="V10" t="n">
        <x:f>V7+V8-V9</x:f>
        <x:v>1615.0176401024012</x:v>
      </x:c>
      <x:c r="W10" t="n">
        <x:f>W7+W8-W9</x:f>
        <x:v>1650.8599548813258</x:v>
      </x:c>
      <x:c r="X10" t="n">
        <x:f>X7+X8-X9</x:f>
        <x:v>1686.3259253550718</x:v>
      </x:c>
      <x:c r="Y10" t="n">
        <x:f>Y7+Y8-Y9</x:f>
        <x:v>1721.4195031388435</x:v>
      </x:c>
      <x:c r="Z10" t="n">
        <x:f>Z7+Z8-Z9</x:f>
        <x:v>1756.1445983558856</x:v>
      </x:c>
      <x:c r="AA10" t="n">
        <x:f>AA7+AA8-AA9</x:f>
        <x:v>1790.5050800731487</x:v>
      </x:c>
      <x:c r="AB10" t="n">
        <x:f>AB7+AB8-AB9</x:f>
        <x:v>1824.5047767323806</x:v>
      </x:c>
      <x:c r="AC10" t="n">
        <x:f>AC7+AC8-AC9</x:f>
        <x:v>1858.1474765766905</x:v>
      </x:c>
      <x:c r="AD10" t="n">
        <x:f>AD7+AD8-AD9</x:f>
        <x:v>1891.436928072635</x:v>
      </x:c>
      <x:c r="AE10" t="n">
        <x:f>AE7+AE8-AE9</x:f>
        <x:v>1924.3768403278723</x:v>
      </x:c>
      <x:c r="AF10" t="n">
        <x:f>AF7+AF8-AF9</x:f>
        <x:v>1956.9708835044296</x:v>
      </x:c>
      <x:c r="AG10" t="n">
        <x:f>AG7+AG8-AG9</x:f>
        <x:v>1989.222689227633</x:v>
      </x:c>
      <x:c r="AH10" t="n">
        <x:f>AH7+AH8-AH9</x:f>
        <x:v>2021.135850990743</x:v>
      </x:c>
      <x:c r="AI10" t="n">
        <x:f>AI7+AI8-AI9</x:f>
        <x:v>2052.71392455534</x:v>
      </x:c>
      <x:c r="AJ10" t="n">
        <x:f>AJ7+AJ8-AJ9</x:f>
        <x:v>2083.960428347509</x:v>
      </x:c>
      <x:c r="AK10" t="n">
        <x:f>AK7+AK8-AK9</x:f>
        <x:v>2114.8788438498605</x:v>
      </x:c>
    </x:row>
    <x:row r="11">
      <x:c r="A11" t="str">
        <x:v>Average customers</x:v>
      </x:c>
      <x:c r="B11" t="n">
        <x:f>AVERAGE(B7,B10)</x:f>
        <x:v>868.9</x:v>
      </x:c>
      <x:c r="C11" t="n">
        <x:f>AVERAGE(C7,C10)</x:f>
        <x:v>906.4731999999999</x:v>
      </x:c>
      <x:c r="D11" t="n">
        <x:f>AVERAGE(D7,D10)</x:f>
        <x:v>943.5955216</x:v>
      </x:c>
      <x:c r="E11" t="n">
        <x:f>AVERAGE(E7,E10)</x:f>
        <x:v>980.2723753408</x:v>
      </x:c>
      <x:c r="F11" t="n">
        <x:f>AVERAGE(F7,F10)</x:f>
        <x:v>1016.5091068367104</x:v>
      </x:c>
      <x:c r="G11" t="n">
        <x:f>AVERAGE(G7,G10)</x:f>
        <x:v>1052.31099755467</x:v>
      </x:c>
      <x:c r="H11" t="n">
        <x:f>AVERAGE(H7,H10)</x:f>
        <x:v>1087.683265584014</x:v>
      </x:c>
      <x:c r="I11" t="n">
        <x:f>AVERAGE(I7,I10)</x:f>
        <x:v>1122.6310663970057</x:v>
      </x:c>
      <x:c r="J11" t="n">
        <x:f>AVERAGE(J7,J10)</x:f>
        <x:v>1157.1594936002418</x:v>
      </x:c>
      <x:c r="K11" t="n">
        <x:f>AVERAGE(K7,K10)</x:f>
        <x:v>1191.273579677039</x:v>
      </x:c>
      <x:c r="L11" t="n">
        <x:f>AVERAGE(L7,L10)</x:f>
        <x:v>1224.9782967209144</x:v>
      </x:c>
      <x:c r="M11" t="n">
        <x:f>AVERAGE(M7,M10)</x:f>
        <x:v>1258.2785571602635</x:v>
      </x:c>
      <x:c r="N11" t="n">
        <x:f>AVERAGE(N7,N10)</x:f>
        <x:v>1294.5353356120222</x:v>
      </x:c>
      <x:c r="O11" t="n">
        <x:f>AVERAGE(O7,O10)</x:f>
        <x:v>1333.7427145880959</x:v>
      </x:c>
      <x:c r="P11" t="n">
        <x:f>AVERAGE(P7,P10)</x:f>
        <x:v>1372.5384160849208</x:v>
      </x:c>
      <x:c r="Q11" t="n">
        <x:f>AVERAGE(Q7,Q10)</x:f>
        <x:v>1410.9267627160293</x:v>
      </x:c>
      <x:c r="R11" t="n">
        <x:f>AVERAGE(R7,R10)</x:f>
        <x:v>1448.9120317075108</x:v>
      </x:c>
      <x:c r="S11" t="n">
        <x:f>AVERAGE(S7,S10)</x:f>
        <x:v>1486.4984553745821</x:v>
      </x:c>
      <x:c r="T11" t="n">
        <x:f>AVERAGE(T7,T10)</x:f>
        <x:v>1523.6902215931489</x:v>
      </x:c>
      <x:c r="U11" t="n">
        <x:f>AVERAGE(U7,U10)</x:f>
        <x:v>1560.4914742664207</x:v>
      </x:c>
      <x:c r="V11" t="n">
        <x:f>AVERAGE(V7,V10)</x:f>
        <x:v>1596.9063137866233</x:v>
      </x:c>
      <x:c r="W11" t="n">
        <x:f>AVERAGE(W7,W10)</x:f>
        <x:v>1632.9387974918636</x:v>
      </x:c>
      <x:c r="X11" t="n">
        <x:f>AVERAGE(X7,X10)</x:f>
        <x:v>1668.5929401181988</x:v>
      </x:c>
      <x:c r="Y11" t="n">
        <x:f>AVERAGE(Y7,Y10)</x:f>
        <x:v>1703.8727142469577</x:v>
      </x:c>
      <x:c r="Z11" t="n">
        <x:f>AVERAGE(Z7,Z10)</x:f>
        <x:v>1738.7820507473646</x:v>
      </x:c>
      <x:c r="AA11" t="n">
        <x:f>AVERAGE(AA7,AA10)</x:f>
        <x:v>1773.3248392145172</x:v>
      </x:c>
      <x:c r="AB11" t="n">
        <x:f>AVERAGE(AB7,AB10)</x:f>
        <x:v>1807.5049284027646</x:v>
      </x:c>
      <x:c r="AC11" t="n">
        <x:f>AVERAGE(AC7,AC10)</x:f>
        <x:v>1841.3261266545355</x:v>
      </x:c>
      <x:c r="AD11" t="n">
        <x:f>AVERAGE(AD7,AD10)</x:f>
        <x:v>1874.7922023246629</x:v>
      </x:c>
      <x:c r="AE11" t="n">
        <x:f>AVERAGE(AE7,AE10)</x:f>
        <x:v>1907.9068842002537</x:v>
      </x:c>
      <x:c r="AF11" t="n">
        <x:f>AVERAGE(AF7,AF10)</x:f>
        <x:v>1940.673861916151</x:v>
      </x:c>
      <x:c r="AG11" t="n">
        <x:f>AVERAGE(AG7,AG10)</x:f>
        <x:v>1973.0967863660312</x:v>
      </x:c>
      <x:c r="AH11" t="n">
        <x:f>AVERAGE(AH7,AH10)</x:f>
        <x:v>2005.179270109188</x:v>
      </x:c>
      <x:c r="AI11" t="n">
        <x:f>AVERAGE(AI7,AI10)</x:f>
        <x:v>2036.9248877730415</x:v>
      </x:c>
      <x:c r="AJ11" t="n">
        <x:f>AVERAGE(AJ7,AJ10)</x:f>
        <x:v>2068.3371764514245</x:v>
      </x:c>
      <x:c r="AK11" t="n">
        <x:f>AVERAGE(AK7,AK10)</x:f>
        <x:v>2099.419636098685</x:v>
      </x:c>
    </x:row>
    <x:row r="12">
      <x:c r="A12" t="str">
        <x:v>ARPU ($/month)</x:v>
      </x:c>
      <x:c r="B12" t="n">
        <x:f>Assumptions!$B$9*(1+Assumptions!$B$10)^(0/12)</x:f>
        <x:v>320</x:v>
      </x:c>
      <x:c r="C12" t="n">
        <x:f>Assumptions!$B$9*(1+Assumptions!$B$10)^(1/12)</x:f>
        <x:v>321.1759390081398</x:v>
      </x:c>
      <x:c r="D12" t="n">
        <x:f>Assumptions!$B$9*(1+Assumptions!$B$10)^(2/12)</x:f>
        <x:v>322.356199368001</x:v>
      </x:c>
      <x:c r="E12" t="n">
        <x:f>Assumptions!$B$9*(1+Assumptions!$B$10)^(3/12)</x:f>
        <x:v>323.5407969597276</x:v>
      </x:c>
      <x:c r="F12" t="n">
        <x:f>Assumptions!$B$9*(1+Assumptions!$B$10)^(4/12)</x:f>
        <x:v>324.72974772182</x:v>
      </x:c>
      <x:c r="G12" t="n">
        <x:f>Assumptions!$B$9*(1+Assumptions!$B$10)^(5/12)</x:f>
        <x:v>325.9230676513496</x:v>
      </x:c>
      <x:c r="H12" t="n">
        <x:f>Assumptions!$B$9*(1+Assumptions!$B$10)^(6/12)</x:f>
        <x:v>327.12077280417395</x:v>
      </x:c>
      <x:c r="I12" t="n">
        <x:f>Assumptions!$B$9*(1+Assumptions!$B$10)^(7/12)</x:f>
        <x:v>328.3228792951529</x:v>
      </x:c>
      <x:c r="J12" t="n">
        <x:f>Assumptions!$B$9*(1+Assumptions!$B$10)^(8/12)</x:f>
        <x:v>329.52940329836514</x:v>
      </x:c>
      <x:c r="K12" t="n">
        <x:f>Assumptions!$B$9*(1+Assumptions!$B$10)^(9/12)</x:f>
        <x:v>330.74036104732625</x:v>
      </x:c>
      <x:c r="L12" t="n">
        <x:f>Assumptions!$B$9*(1+Assumptions!$B$10)^(10/12)</x:f>
        <x:v>331.95576883520687</x:v>
      </x:c>
      <x:c r="M12" t="n">
        <x:f>Assumptions!$B$9*(1+Assumptions!$B$10)^(11/12)</x:f>
        <x:v>333.1756430150517</x:v>
      </x:c>
      <x:c r="N12" t="n">
        <x:f>Assumptions!$B$9*(1+Assumptions!$B$10)^(12/12)</x:f>
        <x:v>334.4</x:v>
      </x:c>
      <x:c r="O12" t="n">
        <x:f>Assumptions!$B$9*(1+Assumptions!$B$10)^(13/12)</x:f>
        <x:v>335.628856263506</x:v>
      </x:c>
      <x:c r="P12" t="n">
        <x:f>Assumptions!$B$9*(1+Assumptions!$B$10)^(14/12)</x:f>
        <x:v>336.862228339561</x:v>
      </x:c>
      <x:c r="Q12" t="n">
        <x:f>Assumptions!$B$9*(1+Assumptions!$B$10)^(15/12)</x:f>
        <x:v>338.10013282291527</x:v>
      </x:c>
      <x:c r="R12" t="n">
        <x:f>Assumptions!$B$9*(1+Assumptions!$B$10)^(16/12)</x:f>
        <x:v>339.3425863693019</x:v>
      </x:c>
      <x:c r="S12" t="n">
        <x:f>Assumptions!$B$9*(1+Assumptions!$B$10)^(17/12)</x:f>
        <x:v>340.58960569566034</x:v>
      </x:c>
      <x:c r="T12" t="n">
        <x:f>Assumptions!$B$9*(1+Assumptions!$B$10)^(18/12)</x:f>
        <x:v>341.8412075803617</x:v>
      </x:c>
      <x:c r="U12" t="n">
        <x:f>Assumptions!$B$9*(1+Assumptions!$B$10)^(19/12)</x:f>
        <x:v>343.0974088634347</x:v>
      </x:c>
      <x:c r="V12" t="n">
        <x:f>Assumptions!$B$9*(1+Assumptions!$B$10)^(20/12)</x:f>
        <x:v>344.35822644679155</x:v>
      </x:c>
      <x:c r="W12" t="n">
        <x:f>Assumptions!$B$9*(1+Assumptions!$B$10)^(21/12)</x:f>
        <x:v>345.623677294456</x:v>
      </x:c>
      <x:c r="X12" t="n">
        <x:f>Assumptions!$B$9*(1+Assumptions!$B$10)^(22/12)</x:f>
        <x:v>346.8937784327912</x:v>
      </x:c>
      <x:c r="Y12" t="n">
        <x:f>Assumptions!$B$9*(1+Assumptions!$B$10)^(23/12)</x:f>
        <x:v>348.16854695072897</x:v>
      </x:c>
      <x:c r="Z12" t="n">
        <x:f>Assumptions!$B$9*(1+Assumptions!$B$10)^(24/12)</x:f>
        <x:v>349.4479999999999</x:v>
      </x:c>
      <x:c r="AA12" t="n">
        <x:f>Assumptions!$B$9*(1+Assumptions!$B$10)^(25/12)</x:f>
        <x:v>350.7321547953638</x:v>
      </x:c>
      <x:c r="AB12" t="n">
        <x:f>Assumptions!$B$9*(1+Assumptions!$B$10)^(26/12)</x:f>
        <x:v>352.0210286148412</x:v>
      </x:c>
      <x:c r="AC12" t="n">
        <x:f>Assumptions!$B$9*(1+Assumptions!$B$10)^(27/12)</x:f>
        <x:v>353.31463879994647</x:v>
      </x:c>
      <x:c r="AD12" t="n">
        <x:f>Assumptions!$B$9*(1+Assumptions!$B$10)^(28/12)</x:f>
        <x:v>354.61300275592043</x:v>
      </x:c>
      <x:c r="AE12" t="n">
        <x:f>Assumptions!$B$9*(1+Assumptions!$B$10)^(29/12)</x:f>
        <x:v>355.916137951965</x:v>
      </x:c>
      <x:c r="AF12" t="n">
        <x:f>Assumptions!$B$9*(1+Assumptions!$B$10)^(30/12)</x:f>
        <x:v>357.224061921478</x:v>
      </x:c>
      <x:c r="AG12" t="n">
        <x:f>Assumptions!$B$9*(1+Assumptions!$B$10)^(31/12)</x:f>
        <x:v>358.5367922622893</x:v>
      </x:c>
      <x:c r="AH12" t="n">
        <x:f>Assumptions!$B$9*(1+Assumptions!$B$10)^(32/12)</x:f>
        <x:v>359.85434663689716</x:v>
      </x:c>
      <x:c r="AI12" t="n">
        <x:f>Assumptions!$B$9*(1+Assumptions!$B$10)^(33/12)</x:f>
        <x:v>361.17674277270646</x:v>
      </x:c>
      <x:c r="AJ12" t="n">
        <x:f>Assumptions!$B$9*(1+Assumptions!$B$10)^(34/12)</x:f>
        <x:v>362.50399846226674</x:v>
      </x:c>
      <x:c r="AK12" t="n">
        <x:f>Assumptions!$B$9*(1+Assumptions!$B$10)^(35/12)</x:f>
        <x:v>363.8361315635118</x:v>
      </x:c>
    </x:row>
    <x:row r="13">
      <x:c r="A13" s="20" t="str">
        <x:v>Subscription revenue</x:v>
      </x:c>
      <x:c r="B13" s="20" t="n">
        <x:f>B11*B12*(1+Assumptions!$B$30)</x:f>
        <x:v>271096.8</x:v>
      </x:c>
      <x:c r="C13" s="20" t="n">
        <x:f>C11*C12*(1+Assumptions!$B$30)</x:f>
        <x:v>283858.94666582043</x:v>
      </x:c>
      <x:c r="D13" s="20" t="n">
        <x:f>D11*D12*(1+Assumptions!$B$30)</x:f>
        <x:v>296569.5194315514</x:v>
      </x:c>
      <x:c r="E13" s="20" t="n">
        <x:f>E11*E12*(1+Assumptions!$B$30)</x:f>
        <x:v>309229.1529164834</x:v>
      </x:c>
      <x:c r="F13" s="20" t="n">
        <x:f>F11*F12*(1+Assumptions!$B$30)</x:f>
        <x:v>321838.47717451706</x:v>
      </x:c>
      <x:c r="G13" s="20" t="n">
        <x:f>G11*G12*(1+Assumptions!$B$30)</x:f>
        <x:v>334398.11773511313</x:v>
      </x:c>
      <x:c r="H13" s="20" t="n">
        <x:f>H11*H12*(1+Assumptions!$B$30)</x:f>
        <x:v>346908.69564391</x:v>
      </x:c>
      <x:c r="I13" s="20" t="n">
        <x:f>I11*I12*(1+Assumptions!$B$30)</x:f>
        <x:v>359370.8275030116</x:v>
      </x:c>
      <x:c r="J13" s="20" t="n">
        <x:f>J11*J12*(1+Assumptions!$B$30)</x:f>
        <x:v>371785.1255109479</x:v>
      </x:c>
      <x:c r="K13" s="20" t="n">
        <x:f>K11*K12*(1+Assumptions!$B$30)</x:f>
        <x:v>384152.1975023115</x:v>
      </x:c>
      <x:c r="L13" s="20" t="n">
        <x:f>L11*L12*(1+Assumptions!$B$30)</x:f>
        <x:v>396472.6469870724</x:v>
      </x:c>
      <x:c r="M13" s="20" t="n">
        <x:f>M11*M12*(1+Assumptions!$B$30)</x:f>
        <x:v>408747.07318957424</x:v>
      </x:c>
      <x:c r="N13" s="20" t="n">
        <x:f>N11*N12*1</x:f>
        <x:v>432892.6162286602</x:v>
      </x:c>
      <x:c r="O13" s="20" t="n">
        <x:f>O11*O12*1</x:f>
        <x:v>447642.54184698634</x:v>
      </x:c>
      <x:c r="P13" s="20" t="n">
        <x:f>P11*P12*1</x:f>
        <x:v>462356.34932401794</x:v>
      </x:c>
      <x:c r="Q13" s="20" t="n">
        <x:f>Q11*Q12*1</x:f>
        <x:v>477034.52587769536</x:v>
      </x:c>
      <x:c r="R13" s="20" t="n">
        <x:f>R11*R12*1</x:f>
        <x:v>491677.55626122665</x:v>
      </x:c>
      <x:c r="S13" s="20" t="n">
        <x:f>S11*S12*1</x:f>
        <x:v>506285.92278323707</x:v>
      </x:c>
      <x:c r="T13" s="20" t="n">
        <x:f>T11*T12*1</x:f>
        <x:v>520860.1053277909</x:v>
      </x:c>
      <x:c r="U13" s="20" t="n">
        <x:f>U11*U12*1</x:f>
        <x:v>535400.58137429</x:v>
      </x:c>
      <x:c r="V13" s="20" t="n">
        <x:f>V11*V12*1</x:f>
        <x:v>549907.8260172452</x:v>
      </x:c>
      <x:c r="W13" s="20" t="n">
        <x:f>W11*W12*1</x:f>
        <x:v>564382.311985925</x:v>
      </x:c>
      <x:c r="X13" s="20" t="n">
        <x:f>X11*X12*1</x:f>
        <x:v>578824.5096638821</x:v>
      </x:c>
      <x:c r="Y13" s="20" t="n">
        <x:f>Y11*Y12*1</x:f>
        <x:v>593234.8871083579</x:v>
      </x:c>
      <x:c r="Z13" s="20" t="n">
        <x:f>Z11*Z12*1</x:f>
        <x:v>607613.9100695649</x:v>
      </x:c>
      <x:c r="AA13" s="20" t="n">
        <x:f>AA11*AA12*1</x:f>
        <x:v>621962.0420098497</x:v>
      </x:c>
      <x:c r="AB13" s="20" t="n">
        <x:f>AB11*AB12*1</x:f>
        <x:v>636279.7441227362</x:v>
      </x:c>
      <x:c r="AC13" s="20" t="n">
        <x:f>AC11*AC12*1</x:f>
        <x:v>650567.4753518517</x:v>
      </x:c>
      <x:c r="AD13" s="20" t="n">
        <x:f>AD11*AD12*1</x:f>
        <x:v>664825.6924097338</x:v>
      </x:c>
      <x:c r="AE13" s="20" t="n">
        <x:f>AE11*AE12*1</x:f>
        <x:v>679054.8497965212</x:v>
      </x:c>
      <x:c r="AF13" s="20" t="n">
        <x:f>AF11*AF12*1</x:f>
        <x:v>693255.3998185289</x:v>
      </x:c>
      <x:c r="AG13" s="20" t="n">
        <x:f>AG11*AG12*1</x:f>
        <x:v>707427.7926067084</x:v>
      </x:c>
      <x:c r="AH13" s="20" t="n">
        <x:f>AH11*AH12*1</x:f>
        <x:v>721572.4761349922</x:v>
      </x:c>
      <x:c r="AI13" s="20" t="n">
        <x:f>AI11*AI12*1</x:f>
        <x:v>735689.8962385278</x:v>
      </x:c>
      <x:c r="AJ13" s="20" t="n">
        <x:f>AJ11*AJ12*1</x:f>
        <x:v>749780.4966317964</x:v>
      </x:c>
      <x:c r="AK13" s="20" t="n">
        <x:f>AK11*AK12*1</x:f>
        <x:v>763844.7189266211</x:v>
      </x:c>
    </x:row>
    <x:row r="14">
      <x:c r="A14" t="str">
        <x:v>Cost of service</x:v>
      </x:c>
      <x:c r="B14" t="n">
        <x:f>B13*Assumptions!$B$11</x:f>
        <x:v>51508.392</x:v>
      </x:c>
      <x:c r="C14" t="n">
        <x:f>C13*Assumptions!$B$11</x:f>
        <x:v>53933.199866505885</x:v>
      </x:c>
      <x:c r="D14" t="n">
        <x:f>D13*Assumptions!$B$11</x:f>
        <x:v>56348.20869199477</x:v>
      </x:c>
      <x:c r="E14" t="n">
        <x:f>E13*Assumptions!$B$11</x:f>
        <x:v>58753.53905413185</x:v>
      </x:c>
      <x:c r="F14" t="n">
        <x:f>F13*Assumptions!$B$11</x:f>
        <x:v>61149.31066315824</x:v>
      </x:c>
      <x:c r="G14" t="n">
        <x:f>G13*Assumptions!$B$11</x:f>
        <x:v>63535.6423696715</x:v>
      </x:c>
      <x:c r="H14" t="n">
        <x:f>H13*Assumptions!$B$11</x:f>
        <x:v>65912.65217234289</x:v>
      </x:c>
      <x:c r="I14" t="n">
        <x:f>I13*Assumptions!$B$11</x:f>
        <x:v>68280.4572255722</x:v>
      </x:c>
      <x:c r="J14" t="n">
        <x:f>J13*Assumptions!$B$11</x:f>
        <x:v>70639.1738470801</x:v>
      </x:c>
      <x:c r="K14" t="n">
        <x:f>K13*Assumptions!$B$11</x:f>
        <x:v>72988.91752543919</x:v>
      </x:c>
      <x:c r="L14" t="n">
        <x:f>L13*Assumptions!$B$11</x:f>
        <x:v>75329.80292754376</x:v>
      </x:c>
      <x:c r="M14" t="n">
        <x:f>M13*Assumptions!$B$11</x:f>
        <x:v>77661.9439060191</x:v>
      </x:c>
      <x:c r="N14" t="n">
        <x:f>N13*Assumptions!$B$11</x:f>
        <x:v>82249.59708344545</x:v>
      </x:c>
      <x:c r="O14" t="n">
        <x:f>O13*Assumptions!$B$11</x:f>
        <x:v>85052.0829509274</x:v>
      </x:c>
      <x:c r="P14" t="n">
        <x:f>P13*Assumptions!$B$11</x:f>
        <x:v>87847.70637156341</x:v>
      </x:c>
      <x:c r="Q14" t="n">
        <x:f>Q13*Assumptions!$B$11</x:f>
        <x:v>90636.55991676213</x:v>
      </x:c>
      <x:c r="R14" t="n">
        <x:f>R13*Assumptions!$B$11</x:f>
        <x:v>93418.73568963306</x:v>
      </x:c>
      <x:c r="S14" t="n">
        <x:f>S13*Assumptions!$B$11</x:f>
        <x:v>96194.32532881504</x:v>
      </x:c>
      <x:c r="T14" t="n">
        <x:f>T13*Assumptions!$B$11</x:f>
        <x:v>98963.42001228027</x:v>
      </x:c>
      <x:c r="U14" t="n">
        <x:f>U13*Assumptions!$B$11</x:f>
        <x:v>101726.11046111511</x:v>
      </x:c>
      <x:c r="V14" t="n">
        <x:f>V13*Assumptions!$B$11</x:f>
        <x:v>104482.48694327658</x:v>
      </x:c>
      <x:c r="W14" t="n">
        <x:f>W13*Assumptions!$B$11</x:f>
        <x:v>107232.63927732574</x:v>
      </x:c>
      <x:c r="X14" t="n">
        <x:f>X13*Assumptions!$B$11</x:f>
        <x:v>109976.6568361376</x:v>
      </x:c>
      <x:c r="Y14" t="n">
        <x:f>Y13*Assumptions!$B$11</x:f>
        <x:v>112714.628550588</x:v>
      </x:c>
      <x:c r="Z14" t="n">
        <x:f>Z13*Assumptions!$B$11</x:f>
        <x:v>115446.64291321734</x:v>
      </x:c>
      <x:c r="AA14" t="n">
        <x:f>AA13*Assumptions!$B$11</x:f>
        <x:v>118172.78798187144</x:v>
      </x:c>
      <x:c r="AB14" t="n">
        <x:f>AB13*Assumptions!$B$11</x:f>
        <x:v>120893.15138331987</x:v>
      </x:c>
      <x:c r="AC14" t="n">
        <x:f>AC13*Assumptions!$B$11</x:f>
        <x:v>123607.82031685182</x:v>
      </x:c>
      <x:c r="AD14" t="n">
        <x:f>AD13*Assumptions!$B$11</x:f>
        <x:v>126316.88155784943</x:v>
      </x:c>
      <x:c r="AE14" t="n">
        <x:f>AE13*Assumptions!$B$11</x:f>
        <x:v>129020.42146133904</x:v>
      </x:c>
      <x:c r="AF14" t="n">
        <x:f>AF13*Assumptions!$B$11</x:f>
        <x:v>131718.5259655205</x:v>
      </x:c>
      <x:c r="AG14" t="n">
        <x:f>AG13*Assumptions!$B$11</x:f>
        <x:v>134411.28059527458</x:v>
      </x:c>
      <x:c r="AH14" t="n">
        <x:f>AH13*Assumptions!$B$11</x:f>
        <x:v>137098.77046564853</x:v>
      </x:c>
      <x:c r="AI14" t="n">
        <x:f>AI13*Assumptions!$B$11</x:f>
        <x:v>139781.0802853203</x:v>
      </x:c>
      <x:c r="AJ14" t="n">
        <x:f>AJ13*Assumptions!$B$11</x:f>
        <x:v>142458.2943600413</x:v>
      </x:c>
      <x:c r="AK14" t="n">
        <x:f>AK13*Assumptions!$B$11</x:f>
        <x:v>145130.49659605802</x:v>
      </x:c>
    </x:row>
    <x:row r="15">
      <x:c r="A15" s="20" t="str">
        <x:v>Gross profit</x:v>
      </x:c>
      <x:c r="B15" s="20" t="n">
        <x:f>B13-B14</x:f>
        <x:v>219588.408</x:v>
      </x:c>
      <x:c r="C15" s="20" t="n">
        <x:f>C13-C14</x:f>
        <x:v>229925.74679931454</x:v>
      </x:c>
      <x:c r="D15" s="20" t="n">
        <x:f>D13-D14</x:f>
        <x:v>240221.31073955662</x:v>
      </x:c>
      <x:c r="E15" s="20" t="n">
        <x:f>E13-E14</x:f>
        <x:v>250475.61386235157</x:v>
      </x:c>
      <x:c r="F15" s="20" t="n">
        <x:f>F13-F14</x:f>
        <x:v>260689.1665113588</x:v>
      </x:c>
      <x:c r="G15" s="20" t="n">
        <x:f>G13-G14</x:f>
        <x:v>270862.47536544164</x:v>
      </x:c>
      <x:c r="H15" s="20" t="n">
        <x:f>H13-H14</x:f>
        <x:v>280996.0434715671</x:v>
      </x:c>
      <x:c r="I15" s="20" t="n">
        <x:f>I13-I14</x:f>
        <x:v>291090.3702774394</x:v>
      </x:c>
      <x:c r="J15" s="20" t="n">
        <x:f>J13-J14</x:f>
        <x:v>301145.9516638678</x:v>
      </x:c>
      <x:c r="K15" s="20" t="n">
        <x:f>K13-K14</x:f>
        <x:v>311163.2799768723</x:v>
      </x:c>
      <x:c r="L15" s="20" t="n">
        <x:f>L13-L14</x:f>
        <x:v>321142.84405952867</x:v>
      </x:c>
      <x:c r="M15" s="20" t="n">
        <x:f>M13-M14</x:f>
        <x:v>331085.12928355514</x:v>
      </x:c>
      <x:c r="N15" s="20" t="n">
        <x:f>N13-N14</x:f>
        <x:v>350643.01914521476</x:v>
      </x:c>
      <x:c r="O15" s="20" t="n">
        <x:f>O13-O14</x:f>
        <x:v>362590.45889605896</x:v>
      </x:c>
      <x:c r="P15" s="20" t="n">
        <x:f>P13-P14</x:f>
        <x:v>374508.6429524545</x:v>
      </x:c>
      <x:c r="Q15" s="20" t="n">
        <x:f>Q13-Q14</x:f>
        <x:v>386397.96596093324</x:v>
      </x:c>
      <x:c r="R15" s="20" t="n">
        <x:f>R13-R14</x:f>
        <x:v>398258.8205715936</x:v>
      </x:c>
      <x:c r="S15" s="20" t="n">
        <x:f>S13-S14</x:f>
        <x:v>410091.59745442204</x:v>
      </x:c>
      <x:c r="T15" s="20" t="n">
        <x:f>T13-T14</x:f>
        <x:v>421896.6853155106</x:v>
      </x:c>
      <x:c r="U15" s="20" t="n">
        <x:f>U13-U14</x:f>
        <x:v>433674.4709131749</x:v>
      </x:c>
      <x:c r="V15" s="20" t="n">
        <x:f>V13-V14</x:f>
        <x:v>445425.3390739686</x:v>
      </x:c>
      <x:c r="W15" s="20" t="n">
        <x:f>W13-W14</x:f>
        <x:v>457149.67270859925</x:v>
      </x:c>
      <x:c r="X15" s="20" t="n">
        <x:f>X13-X14</x:f>
        <x:v>468847.8528277445</x:v>
      </x:c>
      <x:c r="Y15" s="20" t="n">
        <x:f>Y13-Y14</x:f>
        <x:v>480520.2585577699</x:v>
      </x:c>
      <x:c r="Z15" s="20" t="n">
        <x:f>Z13-Z14</x:f>
        <x:v>492167.26715634763</x:v>
      </x:c>
      <x:c r="AA15" s="20" t="n">
        <x:f>AA13-AA14</x:f>
        <x:v>503789.2540279782</x:v>
      </x:c>
      <x:c r="AB15" s="20" t="n">
        <x:f>AB13-AB14</x:f>
        <x:v>515386.5927394163</x:v>
      </x:c>
      <x:c r="AC15" s="20" t="n">
        <x:f>AC13-AC14</x:f>
        <x:v>526959.6550349998</x:v>
      </x:c>
      <x:c r="AD15" s="20" t="n">
        <x:f>AD13-AD14</x:f>
        <x:v>538508.8108518843</x:v>
      </x:c>
      <x:c r="AE15" s="20" t="n">
        <x:f>AE13-AE14</x:f>
        <x:v>550034.4283351823</x:v>
      </x:c>
      <x:c r="AF15" s="20" t="n">
        <x:f>AF13-AF14</x:f>
        <x:v>561536.8738530084</x:v>
      </x:c>
      <x:c r="AG15" s="20" t="n">
        <x:f>AG13-AG14</x:f>
        <x:v>573016.5120114337</x:v>
      </x:c>
      <x:c r="AH15" s="20" t="n">
        <x:f>AH13-AH14</x:f>
        <x:v>584473.7056693437</x:v>
      </x:c>
      <x:c r="AI15" s="20" t="n">
        <x:f>AI13-AI14</x:f>
        <x:v>595908.8159532076</x:v>
      </x:c>
      <x:c r="AJ15" s="20" t="n">
        <x:f>AJ13-AJ14</x:f>
        <x:v>607322.2022717551</x:v>
      </x:c>
      <x:c r="AK15" s="20" t="n">
        <x:f>AK13-AK14</x:f>
        <x:v>618714.2223305631</x:v>
      </x:c>
    </x:row>
    <x:row r="16">
      <x:c r="A16" t="str">
        <x:v>Gross margin</x:v>
      </x:c>
      <x:c r="B16" s="18" t="n">
        <x:f>IFERROR(B15/B13,0)</x:f>
        <x:v>0.81</x:v>
      </x:c>
      <x:c r="C16" s="18" t="n">
        <x:f>IFERROR(C15/C13,0)</x:f>
        <x:v>0.8099999999999999</x:v>
      </x:c>
      <x:c r="D16" s="18" t="n">
        <x:f>IFERROR(D15/D13,0)</x:f>
        <x:v>0.8099999999999999</x:v>
      </x:c>
      <x:c r="E16" s="18" t="n">
        <x:f>IFERROR(E15/E13,0)</x:f>
        <x:v>0.81</x:v>
      </x:c>
      <x:c r="F16" s="18" t="n">
        <x:f>IFERROR(F15/F13,0)</x:f>
        <x:v>0.8099999999999999</x:v>
      </x:c>
      <x:c r="G16" s="18" t="n">
        <x:f>IFERROR(G15/G13,0)</x:f>
        <x:v>0.81</x:v>
      </x:c>
      <x:c r="H16" s="18" t="n">
        <x:f>IFERROR(H15/H13,0)</x:f>
        <x:v>0.81</x:v>
      </x:c>
      <x:c r="I16" s="18" t="n">
        <x:f>IFERROR(I15/I13,0)</x:f>
        <x:v>0.81</x:v>
      </x:c>
      <x:c r="J16" s="18" t="n">
        <x:f>IFERROR(J15/J13,0)</x:f>
        <x:v>0.81</x:v>
      </x:c>
      <x:c r="K16" s="18" t="n">
        <x:f>IFERROR(K15/K13,0)</x:f>
        <x:v>0.81</x:v>
      </x:c>
      <x:c r="L16" s="18" t="n">
        <x:f>IFERROR(L15/L13,0)</x:f>
        <x:v>0.81</x:v>
      </x:c>
      <x:c r="M16" s="18" t="n">
        <x:f>IFERROR(M15/M13,0)</x:f>
        <x:v>0.81</x:v>
      </x:c>
      <x:c r="N16" s="18" t="n">
        <x:f>IFERROR(N15/N13,0)</x:f>
        <x:v>0.8099999999999999</x:v>
      </x:c>
      <x:c r="O16" s="18" t="n">
        <x:f>IFERROR(O15/O13,0)</x:f>
        <x:v>0.81</x:v>
      </x:c>
      <x:c r="P16" s="18" t="n">
        <x:f>IFERROR(P15/P13,0)</x:f>
        <x:v>0.8099999999999999</x:v>
      </x:c>
      <x:c r="Q16" s="18" t="n">
        <x:f>IFERROR(Q15/Q13,0)</x:f>
        <x:v>0.81</x:v>
      </x:c>
      <x:c r="R16" s="18" t="n">
        <x:f>IFERROR(R15/R13,0)</x:f>
        <x:v>0.81</x:v>
      </x:c>
      <x:c r="S16" s="18" t="n">
        <x:f>IFERROR(S15/S13,0)</x:f>
        <x:v>0.81</x:v>
      </x:c>
      <x:c r="T16" s="18" t="n">
        <x:f>IFERROR(T15/T13,0)</x:f>
        <x:v>0.8099999999999999</x:v>
      </x:c>
      <x:c r="U16" s="18" t="n">
        <x:f>IFERROR(U15/U13,0)</x:f>
        <x:v>0.8099999999999999</x:v>
      </x:c>
      <x:c r="V16" s="18" t="n">
        <x:f>IFERROR(V15/V13,0)</x:f>
        <x:v>0.8099999999999999</x:v>
      </x:c>
      <x:c r="W16" s="18" t="n">
        <x:f>IFERROR(W15/W13,0)</x:f>
        <x:v>0.81</x:v>
      </x:c>
      <x:c r="X16" s="18" t="n">
        <x:f>IFERROR(X15/X13,0)</x:f>
        <x:v>0.81</x:v>
      </x:c>
      <x:c r="Y16" s="18" t="n">
        <x:f>IFERROR(Y15/Y13,0)</x:f>
        <x:v>0.81</x:v>
      </x:c>
      <x:c r="Z16" s="18" t="n">
        <x:f>IFERROR(Z15/Z13,0)</x:f>
        <x:v>0.81</x:v>
      </x:c>
      <x:c r="AA16" s="18" t="n">
        <x:f>IFERROR(AA15/AA13,0)</x:f>
        <x:v>0.8099999999999999</x:v>
      </x:c>
      <x:c r="AB16" s="18" t="n">
        <x:f>IFERROR(AB15/AB13,0)</x:f>
        <x:v>0.81</x:v>
      </x:c>
      <x:c r="AC16" s="18" t="n">
        <x:f>IFERROR(AC15/AC13,0)</x:f>
        <x:v>0.8099999999999999</x:v>
      </x:c>
      <x:c r="AD16" s="18" t="n">
        <x:f>IFERROR(AD15/AD13,0)</x:f>
        <x:v>0.8099999999999999</x:v>
      </x:c>
      <x:c r="AE16" s="18" t="n">
        <x:f>IFERROR(AE15/AE13,0)</x:f>
        <x:v>0.81</x:v>
      </x:c>
      <x:c r="AF16" s="18" t="n">
        <x:f>IFERROR(AF15/AF13,0)</x:f>
        <x:v>0.8099999999999999</x:v>
      </x:c>
      <x:c r="AG16" s="18" t="n">
        <x:f>IFERROR(AG15/AG13,0)</x:f>
        <x:v>0.8099999999999999</x:v>
      </x:c>
      <x:c r="AH16" s="18" t="n">
        <x:f>IFERROR(AH15/AH13,0)</x:f>
        <x:v>0.81</x:v>
      </x:c>
      <x:c r="AI16" s="18" t="n">
        <x:f>IFERROR(AI15/AI13,0)</x:f>
        <x:v>0.81</x:v>
      </x:c>
      <x:c r="AJ16" s="18" t="n">
        <x:f>IFERROR(AJ15/AJ13,0)</x:f>
        <x:v>0.81</x:v>
      </x:c>
      <x:c r="AK16" s="18" t="n">
        <x:f>IFERROR(AK15/AK13,0)</x:f>
        <x:v>0.81</x:v>
      </x:c>
    </x:row>
    <x:row r="17">
      <x:c r="A17" t="str">
        <x:v>Sales &amp; marketing</x:v>
      </x:c>
      <x:c r="B17" t="n">
        <x:f>B13*Assumptions!$B$12</x:f>
        <x:v>62352.264</x:v>
      </x:c>
      <x:c r="C17" t="n">
        <x:f>C13*Assumptions!$B$12</x:f>
        <x:v>65287.5577331387</x:v>
      </x:c>
      <x:c r="D17" t="n">
        <x:f>D13*Assumptions!$B$12</x:f>
        <x:v>68210.98946925682</x:v>
      </x:c>
      <x:c r="E17" t="n">
        <x:f>E13*Assumptions!$B$12</x:f>
        <x:v>71122.70517079119</x:v>
      </x:c>
      <x:c r="F17" t="n">
        <x:f>F13*Assumptions!$B$12</x:f>
        <x:v>74022.84975013892</x:v>
      </x:c>
      <x:c r="G17" t="n">
        <x:f>G13*Assumptions!$B$12</x:f>
        <x:v>76911.56707907602</x:v>
      </x:c>
      <x:c r="H17" t="n">
        <x:f>H13*Assumptions!$B$12</x:f>
        <x:v>79788.9999980993</x:v>
      </x:c>
      <x:c r="I17" t="n">
        <x:f>I13*Assumptions!$B$12</x:f>
        <x:v>82655.29032569268</x:v>
      </x:c>
      <x:c r="J17" t="n">
        <x:f>J13*Assumptions!$B$12</x:f>
        <x:v>85510.57886751802</x:v>
      </x:c>
      <x:c r="K17" t="n">
        <x:f>K13*Assumptions!$B$12</x:f>
        <x:v>88355.00542553165</x:v>
      </x:c>
      <x:c r="L17" t="n">
        <x:f>L13*Assumptions!$B$12</x:f>
        <x:v>91188.70880702666</x:v>
      </x:c>
      <x:c r="M17" t="n">
        <x:f>M13*Assumptions!$B$12</x:f>
        <x:v>94011.82683360208</x:v>
      </x:c>
      <x:c r="N17" t="n">
        <x:f>N13*Assumptions!$B$12</x:f>
        <x:v>99565.30173259185</x:v>
      </x:c>
      <x:c r="O17" t="n">
        <x:f>O13*Assumptions!$B$12</x:f>
        <x:v>102957.78462480687</x:v>
      </x:c>
      <x:c r="P17" t="n">
        <x:f>P13*Assumptions!$B$12</x:f>
        <x:v>106341.96034452414</x:v>
      </x:c>
      <x:c r="Q17" t="n">
        <x:f>Q13*Assumptions!$B$12</x:f>
        <x:v>109717.94095186994</x:v>
      </x:c>
      <x:c r="R17" t="n">
        <x:f>R13*Assumptions!$B$12</x:f>
        <x:v>113085.83794008213</x:v>
      </x:c>
      <x:c r="S17" t="n">
        <x:f>S13*Assumptions!$B$12</x:f>
        <x:v>116445.76224014453</x:v>
      </x:c>
      <x:c r="T17" t="n">
        <x:f>T13*Assumptions!$B$12</x:f>
        <x:v>119797.82422539192</x:v>
      </x:c>
      <x:c r="U17" t="n">
        <x:f>U13*Assumptions!$B$12</x:f>
        <x:v>123142.13371608671</x:v>
      </x:c>
      <x:c r="V17" t="n">
        <x:f>V13*Assumptions!$B$12</x:f>
        <x:v>126478.7999839664</x:v>
      </x:c>
      <x:c r="W17" t="n">
        <x:f>W13*Assumptions!$B$12</x:f>
        <x:v>129807.93175676274</x:v>
      </x:c>
      <x:c r="X17" t="n">
        <x:f>X13*Assumptions!$B$12</x:f>
        <x:v>133129.6372226929</x:v>
      </x:c>
      <x:c r="Y17" t="n">
        <x:f>Y13*Assumptions!$B$12</x:f>
        <x:v>136444.0240349223</x:v>
      </x:c>
      <x:c r="Z17" t="n">
        <x:f>Z13*Assumptions!$B$12</x:f>
        <x:v>139751.19931599995</x:v>
      </x:c>
      <x:c r="AA17" t="n">
        <x:f>AA13*Assumptions!$B$12</x:f>
        <x:v>143051.26966226543</x:v>
      </x:c>
      <x:c r="AB17" t="n">
        <x:f>AB13*Assumptions!$B$12</x:f>
        <x:v>146344.34114822932</x:v>
      </x:c>
      <x:c r="AC17" t="n">
        <x:f>AC13*Assumptions!$B$12</x:f>
        <x:v>149630.5193309259</x:v>
      </x:c>
      <x:c r="AD17" t="n">
        <x:f>AD13*Assumptions!$B$12</x:f>
        <x:v>152909.90925423877</x:v>
      </x:c>
      <x:c r="AE17" t="n">
        <x:f>AE13*Assumptions!$B$12</x:f>
        <x:v>156182.6154531999</x:v>
      </x:c>
      <x:c r="AF17" t="n">
        <x:f>AF13*Assumptions!$B$12</x:f>
        <x:v>159448.74195826164</x:v>
      </x:c>
      <x:c r="AG17" t="n">
        <x:f>AG13*Assumptions!$B$12</x:f>
        <x:v>162708.39229954293</x:v>
      </x:c>
      <x:c r="AH17" t="n">
        <x:f>AH13*Assumptions!$B$12</x:f>
        <x:v>165961.6695110482</x:v>
      </x:c>
      <x:c r="AI17" t="n">
        <x:f>AI13*Assumptions!$B$12</x:f>
        <x:v>169208.67613486142</x:v>
      </x:c>
      <x:c r="AJ17" t="n">
        <x:f>AJ13*Assumptions!$B$12</x:f>
        <x:v>172449.51422531318</x:v>
      </x:c>
      <x:c r="AK17" t="n">
        <x:f>AK13*Assumptions!$B$12</x:f>
        <x:v>175684.28535312286</x:v>
      </x:c>
    </x:row>
    <x:row r="18">
      <x:c r="A18" t="str">
        <x:v>R&amp;D</x:v>
      </x:c>
      <x:c r="B18" t="n">
        <x:f>B13*Assumptions!$B$14</x:f>
        <x:v>48797.424</x:v>
      </x:c>
      <x:c r="C18" t="n">
        <x:f>C13*Assumptions!$B$14</x:f>
        <x:v>51094.610399847676</x:v>
      </x:c>
      <x:c r="D18" t="n">
        <x:f>D13*Assumptions!$B$14</x:f>
        <x:v>53382.51349767925</x:v>
      </x:c>
      <x:c r="E18" t="n">
        <x:f>E13*Assumptions!$B$14</x:f>
        <x:v>55661.24752496701</x:v>
      </x:c>
      <x:c r="F18" t="n">
        <x:f>F13*Assumptions!$B$14</x:f>
        <x:v>57930.92589141307</x:v>
      </x:c>
      <x:c r="G18" t="n">
        <x:f>G13*Assumptions!$B$14</x:f>
        <x:v>60191.66119232036</x:v>
      </x:c>
      <x:c r="H18" t="n">
        <x:f>H13*Assumptions!$B$14</x:f>
        <x:v>62443.56521590379</x:v>
      </x:c>
      <x:c r="I18" t="n">
        <x:f>I13*Assumptions!$B$14</x:f>
        <x:v>64686.74895054209</x:v>
      </x:c>
      <x:c r="J18" t="n">
        <x:f>J13*Assumptions!$B$14</x:f>
        <x:v>66921.32259197062</x:v>
      </x:c>
      <x:c r="K18" t="n">
        <x:f>K13*Assumptions!$B$14</x:f>
        <x:v>69147.39555041607</x:v>
      </x:c>
      <x:c r="L18" t="n">
        <x:f>L13*Assumptions!$B$14</x:f>
        <x:v>71365.07645767303</x:v>
      </x:c>
      <x:c r="M18" t="n">
        <x:f>M13*Assumptions!$B$14</x:f>
        <x:v>73574.47317412336</x:v>
      </x:c>
      <x:c r="N18" t="n">
        <x:f>N13*Assumptions!$B$14</x:f>
        <x:v>77920.67092115883</x:v>
      </x:c>
      <x:c r="O18" t="n">
        <x:f>O13*Assumptions!$B$14</x:f>
        <x:v>80575.65753245754</x:v>
      </x:c>
      <x:c r="P18" t="n">
        <x:f>P13*Assumptions!$B$14</x:f>
        <x:v>83224.14287832323</x:v>
      </x:c>
      <x:c r="Q18" t="n">
        <x:f>Q13*Assumptions!$B$14</x:f>
        <x:v>85866.21465798515</x:v>
      </x:c>
      <x:c r="R18" t="n">
        <x:f>R13*Assumptions!$B$14</x:f>
        <x:v>88501.9601270208</x:v>
      </x:c>
      <x:c r="S18" t="n">
        <x:f>S13*Assumptions!$B$14</x:f>
        <x:v>91131.46610098267</x:v>
      </x:c>
      <x:c r="T18" t="n">
        <x:f>T13*Assumptions!$B$14</x:f>
        <x:v>93754.81895900235</x:v>
      </x:c>
      <x:c r="U18" t="n">
        <x:f>U13*Assumptions!$B$14</x:f>
        <x:v>96372.10464737221</x:v>
      </x:c>
      <x:c r="V18" t="n">
        <x:f>V13*Assumptions!$B$14</x:f>
        <x:v>98983.40868310413</x:v>
      </x:c>
      <x:c r="W18" t="n">
        <x:f>W13*Assumptions!$B$14</x:f>
        <x:v>101588.81615746648</x:v>
      </x:c>
      <x:c r="X18" t="n">
        <x:f>X13*Assumptions!$B$14</x:f>
        <x:v>104188.41173949877</x:v>
      </x:c>
      <x:c r="Y18" t="n">
        <x:f>Y13*Assumptions!$B$14</x:f>
        <x:v>106782.27967950441</x:v>
      </x:c>
      <x:c r="Z18" t="n">
        <x:f>Z13*Assumptions!$B$14</x:f>
        <x:v>109370.50381252168</x:v>
      </x:c>
      <x:c r="AA18" t="n">
        <x:f>AA13*Assumptions!$B$14</x:f>
        <x:v>111953.16756177293</x:v>
      </x:c>
      <x:c r="AB18" t="n">
        <x:f>AB13*Assumptions!$B$14</x:f>
        <x:v>114530.35394209251</x:v>
      </x:c>
      <x:c r="AC18" t="n">
        <x:f>AC13*Assumptions!$B$14</x:f>
        <x:v>117102.1455633333</x:v>
      </x:c>
      <x:c r="AD18" t="n">
        <x:f>AD13*Assumptions!$B$14</x:f>
        <x:v>119668.62463375207</x:v>
      </x:c>
      <x:c r="AE18" t="n">
        <x:f>AE13*Assumptions!$B$14</x:f>
        <x:v>122229.87296337383</x:v>
      </x:c>
      <x:c r="AF18" t="n">
        <x:f>AF13*Assumptions!$B$14</x:f>
        <x:v>124785.9719673352</x:v>
      </x:c>
      <x:c r="AG18" t="n">
        <x:f>AG13*Assumptions!$B$14</x:f>
        <x:v>127337.0026692075</x:v>
      </x:c>
      <x:c r="AH18" t="n">
        <x:f>AH13*Assumptions!$B$14</x:f>
        <x:v>129883.0457042986</x:v>
      </x:c>
      <x:c r="AI18" t="n">
        <x:f>AI13*Assumptions!$B$14</x:f>
        <x:v>132424.181322935</x:v>
      </x:c>
      <x:c r="AJ18" t="n">
        <x:f>AJ13*Assumptions!$B$14</x:f>
        <x:v>134960.48939372334</x:v>
      </x:c>
      <x:c r="AK18" t="n">
        <x:f>AK13*Assumptions!$B$14</x:f>
        <x:v>137492.0494067918</x:v>
      </x:c>
    </x:row>
    <x:row r="19">
      <x:c r="A19" t="str">
        <x:v>G&amp;A</x:v>
      </x:c>
      <x:c r="B19" t="n">
        <x:f>B13*Assumptions!$B$13</x:f>
        <x:v>35242.584</x:v>
      </x:c>
      <x:c r="C19" t="n">
        <x:f>C13*Assumptions!$B$13</x:f>
        <x:v>36901.663066556655</x:v>
      </x:c>
      <x:c r="D19" t="n">
        <x:f>D13*Assumptions!$B$13</x:f>
        <x:v>38554.03752610168</x:v>
      </x:c>
      <x:c r="E19" t="n">
        <x:f>E13*Assumptions!$B$13</x:f>
        <x:v>40199.789879142845</x:v>
      </x:c>
      <x:c r="F19" t="n">
        <x:f>F13*Assumptions!$B$13</x:f>
        <x:v>41839.00203268722</x:v>
      </x:c>
      <x:c r="G19" t="n">
        <x:f>G13*Assumptions!$B$13</x:f>
        <x:v>43471.75530556471</x:v>
      </x:c>
      <x:c r="H19" t="n">
        <x:f>H13*Assumptions!$B$13</x:f>
        <x:v>45098.1304337083</x:v>
      </x:c>
      <x:c r="I19" t="n">
        <x:f>I13*Assumptions!$B$13</x:f>
        <x:v>46718.20757539151</x:v>
      </x:c>
      <x:c r="J19" t="n">
        <x:f>J13*Assumptions!$B$13</x:f>
        <x:v>48332.066316423225</x:v>
      </x:c>
      <x:c r="K19" t="n">
        <x:f>K13*Assumptions!$B$13</x:f>
        <x:v>49939.785675300496</x:v>
      </x:c>
      <x:c r="L19" t="n">
        <x:f>L13*Assumptions!$B$13</x:f>
        <x:v>51541.44410831942</x:v>
      </x:c>
      <x:c r="M19" t="n">
        <x:f>M13*Assumptions!$B$13</x:f>
        <x:v>53137.119514644655</x:v>
      </x:c>
      <x:c r="N19" t="n">
        <x:f>N13*Assumptions!$B$13</x:f>
        <x:v>56276.04010972583</x:v>
      </x:c>
      <x:c r="O19" t="n">
        <x:f>O13*Assumptions!$B$13</x:f>
        <x:v>58193.530440108225</x:v>
      </x:c>
      <x:c r="P19" t="n">
        <x:f>P13*Assumptions!$B$13</x:f>
        <x:v>60106.325412122336</x:v>
      </x:c>
      <x:c r="Q19" t="n">
        <x:f>Q13*Assumptions!$B$13</x:f>
        <x:v>62014.4883641004</x:v>
      </x:c>
      <x:c r="R19" t="n">
        <x:f>R13*Assumptions!$B$13</x:f>
        <x:v>63918.082313959465</x:v>
      </x:c>
      <x:c r="S19" t="n">
        <x:f>S13*Assumptions!$B$13</x:f>
        <x:v>65817.16996182082</x:v>
      </x:c>
      <x:c r="T19" t="n">
        <x:f>T13*Assumptions!$B$13</x:f>
        <x:v>67711.81369261282</x:v>
      </x:c>
      <x:c r="U19" t="n">
        <x:f>U13*Assumptions!$B$13</x:f>
        <x:v>69602.0755786577</x:v>
      </x:c>
      <x:c r="V19" t="n">
        <x:f>V13*Assumptions!$B$13</x:f>
        <x:v>71488.01738224187</x:v>
      </x:c>
      <x:c r="W19" t="n">
        <x:f>W13*Assumptions!$B$13</x:f>
        <x:v>73369.70055817024</x:v>
      </x:c>
      <x:c r="X19" t="n">
        <x:f>X13*Assumptions!$B$13</x:f>
        <x:v>75247.18625630467</x:v>
      </x:c>
      <x:c r="Y19" t="n">
        <x:f>Y13*Assumptions!$B$13</x:f>
        <x:v>77120.53532408652</x:v>
      </x:c>
      <x:c r="Z19" t="n">
        <x:f>Z13*Assumptions!$B$13</x:f>
        <x:v>78989.80830904345</x:v>
      </x:c>
      <x:c r="AA19" t="n">
        <x:f>AA13*Assumptions!$B$13</x:f>
        <x:v>80855.06546128046</x:v>
      </x:c>
      <x:c r="AB19" t="n">
        <x:f>AB13*Assumptions!$B$13</x:f>
        <x:v>82716.3667359557</x:v>
      </x:c>
      <x:c r="AC19" t="n">
        <x:f>AC13*Assumptions!$B$13</x:f>
        <x:v>84573.77179574071</x:v>
      </x:c>
      <x:c r="AD19" t="n">
        <x:f>AD13*Assumptions!$B$13</x:f>
        <x:v>86427.34001326539</x:v>
      </x:c>
      <x:c r="AE19" t="n">
        <x:f>AE13*Assumptions!$B$13</x:f>
        <x:v>88277.13047354776</x:v>
      </x:c>
      <x:c r="AF19" t="n">
        <x:f>AF13*Assumptions!$B$13</x:f>
        <x:v>90123.20197640876</x:v>
      </x:c>
      <x:c r="AG19" t="n">
        <x:f>AG13*Assumptions!$B$13</x:f>
        <x:v>91965.61303887209</x:v>
      </x:c>
      <x:c r="AH19" t="n">
        <x:f>AH13*Assumptions!$B$13</x:f>
        <x:v>93804.421897549</x:v>
      </x:c>
      <x:c r="AI19" t="n">
        <x:f>AI13*Assumptions!$B$13</x:f>
        <x:v>95639.68651100862</x:v>
      </x:c>
      <x:c r="AJ19" t="n">
        <x:f>AJ13*Assumptions!$B$13</x:f>
        <x:v>97471.46456213354</x:v>
      </x:c>
      <x:c r="AK19" t="n">
        <x:f>AK13*Assumptions!$B$13</x:f>
        <x:v>99299.81346046075</x:v>
      </x:c>
    </x:row>
    <x:row r="20">
      <x:c r="A20" t="str">
        <x:v>Headcount</x:v>
      </x:c>
      <x:c r="B20" t="n">
        <x:f>Assumptions!$B$15+0*Assumptions!$B$16</x:f>
        <x:v>32</x:v>
      </x:c>
      <x:c r="C20" t="n">
        <x:f>Assumptions!$B$15+1*Assumptions!$B$16</x:f>
        <x:v>33</x:v>
      </x:c>
      <x:c r="D20" t="n">
        <x:f>Assumptions!$B$15+2*Assumptions!$B$16</x:f>
        <x:v>34</x:v>
      </x:c>
      <x:c r="E20" t="n">
        <x:f>Assumptions!$B$15+3*Assumptions!$B$16</x:f>
        <x:v>35</x:v>
      </x:c>
      <x:c r="F20" t="n">
        <x:f>Assumptions!$B$15+4*Assumptions!$B$16</x:f>
        <x:v>36</x:v>
      </x:c>
      <x:c r="G20" t="n">
        <x:f>Assumptions!$B$15+5*Assumptions!$B$16</x:f>
        <x:v>37</x:v>
      </x:c>
      <x:c r="H20" t="n">
        <x:f>Assumptions!$B$15+6*Assumptions!$B$16</x:f>
        <x:v>38</x:v>
      </x:c>
      <x:c r="I20" t="n">
        <x:f>Assumptions!$B$15+7*Assumptions!$B$16</x:f>
        <x:v>39</x:v>
      </x:c>
      <x:c r="J20" t="n">
        <x:f>Assumptions!$B$15+8*Assumptions!$B$16</x:f>
        <x:v>40</x:v>
      </x:c>
      <x:c r="K20" t="n">
        <x:f>Assumptions!$B$15+9*Assumptions!$B$16</x:f>
        <x:v>41</x:v>
      </x:c>
      <x:c r="L20" t="n">
        <x:f>Assumptions!$B$15+10*Assumptions!$B$16</x:f>
        <x:v>42</x:v>
      </x:c>
      <x:c r="M20" t="n">
        <x:f>Assumptions!$B$15+11*Assumptions!$B$16</x:f>
        <x:v>43</x:v>
      </x:c>
      <x:c r="N20" t="n">
        <x:f>Assumptions!$B$15+12*Assumptions!$B$16</x:f>
        <x:v>44</x:v>
      </x:c>
      <x:c r="O20" t="n">
        <x:f>Assumptions!$B$15+13*Assumptions!$B$16</x:f>
        <x:v>45</x:v>
      </x:c>
      <x:c r="P20" t="n">
        <x:f>Assumptions!$B$15+14*Assumptions!$B$16</x:f>
        <x:v>46</x:v>
      </x:c>
      <x:c r="Q20" t="n">
        <x:f>Assumptions!$B$15+15*Assumptions!$B$16</x:f>
        <x:v>47</x:v>
      </x:c>
      <x:c r="R20" t="n">
        <x:f>Assumptions!$B$15+16*Assumptions!$B$16</x:f>
        <x:v>48</x:v>
      </x:c>
      <x:c r="S20" t="n">
        <x:f>Assumptions!$B$15+17*Assumptions!$B$16</x:f>
        <x:v>49</x:v>
      </x:c>
      <x:c r="T20" t="n">
        <x:f>Assumptions!$B$15+18*Assumptions!$B$16</x:f>
        <x:v>50</x:v>
      </x:c>
      <x:c r="U20" t="n">
        <x:f>Assumptions!$B$15+19*Assumptions!$B$16</x:f>
        <x:v>51</x:v>
      </x:c>
      <x:c r="V20" t="n">
        <x:f>Assumptions!$B$15+20*Assumptions!$B$16</x:f>
        <x:v>52</x:v>
      </x:c>
      <x:c r="W20" t="n">
        <x:f>Assumptions!$B$15+21*Assumptions!$B$16</x:f>
        <x:v>53</x:v>
      </x:c>
      <x:c r="X20" t="n">
        <x:f>Assumptions!$B$15+22*Assumptions!$B$16</x:f>
        <x:v>54</x:v>
      </x:c>
      <x:c r="Y20" t="n">
        <x:f>Assumptions!$B$15+23*Assumptions!$B$16</x:f>
        <x:v>55</x:v>
      </x:c>
      <x:c r="Z20" t="n">
        <x:f>Assumptions!$B$15+24*Assumptions!$B$16</x:f>
        <x:v>56</x:v>
      </x:c>
      <x:c r="AA20" t="n">
        <x:f>Assumptions!$B$15+25*Assumptions!$B$16</x:f>
        <x:v>57</x:v>
      </x:c>
      <x:c r="AB20" t="n">
        <x:f>Assumptions!$B$15+26*Assumptions!$B$16</x:f>
        <x:v>58</x:v>
      </x:c>
      <x:c r="AC20" t="n">
        <x:f>Assumptions!$B$15+27*Assumptions!$B$16</x:f>
        <x:v>59</x:v>
      </x:c>
      <x:c r="AD20" t="n">
        <x:f>Assumptions!$B$15+28*Assumptions!$B$16</x:f>
        <x:v>60</x:v>
      </x:c>
      <x:c r="AE20" t="n">
        <x:f>Assumptions!$B$15+29*Assumptions!$B$16</x:f>
        <x:v>61</x:v>
      </x:c>
      <x:c r="AF20" t="n">
        <x:f>Assumptions!$B$15+30*Assumptions!$B$16</x:f>
        <x:v>62</x:v>
      </x:c>
      <x:c r="AG20" t="n">
        <x:f>Assumptions!$B$15+31*Assumptions!$B$16</x:f>
        <x:v>63</x:v>
      </x:c>
      <x:c r="AH20" t="n">
        <x:f>Assumptions!$B$15+32*Assumptions!$B$16</x:f>
        <x:v>64</x:v>
      </x:c>
      <x:c r="AI20" t="n">
        <x:f>Assumptions!$B$15+33*Assumptions!$B$16</x:f>
        <x:v>65</x:v>
      </x:c>
      <x:c r="AJ20" t="n">
        <x:f>Assumptions!$B$15+34*Assumptions!$B$16</x:f>
        <x:v>66</x:v>
      </x:c>
      <x:c r="AK20" t="n">
        <x:f>Assumptions!$B$15+35*Assumptions!$B$16</x:f>
        <x:v>67</x:v>
      </x:c>
    </x:row>
    <x:row r="21">
      <x:c r="A21" t="str">
        <x:v>Payroll</x:v>
      </x:c>
      <x:c r="B21" t="n">
        <x:f>B20*Assumptions!$B$17*(1+Assumptions!$B$18)^(0/12)</x:f>
        <x:v>217600</x:v>
      </x:c>
      <x:c r="C21" t="n">
        <x:f>C20*Assumptions!$B$17*(1+Assumptions!$B$18)^(1/12)</x:f>
        <x:v>225044.2296725608</x:v>
      </x:c>
      <x:c r="D21" t="n">
        <x:f>D20*Assumptions!$B$17*(1+Assumptions!$B$18)^(2/12)</x:f>
        <x:v>232529.40913184706</x:v>
      </x:c>
      <x:c r="E21" t="n">
        <x:f>E20*Assumptions!$B$17*(1+Assumptions!$B$18)^(3/12)</x:f>
        <x:v>240055.7121474558</x:v>
      </x:c>
      <x:c r="F21" t="n">
        <x:f>F20*Assumptions!$B$17*(1+Assumptions!$B$18)^(4/12)</x:f>
        <x:v>247623.31314922313</x:v>
      </x:c>
      <x:c r="G21" t="n">
        <x:f>G20*Assumptions!$B$17*(1+Assumptions!$B$18)^(5/12)</x:f>
        <x:v>255232.3872295833</x:v>
      </x:c>
      <x:c r="H21" t="n">
        <x:f>H20*Assumptions!$B$17*(1+Assumptions!$B$18)^(6/12)</x:f>
        <x:v>262883.1101459354</x:v>
      </x:c>
      <x:c r="I21" t="n">
        <x:f>I20*Assumptions!$B$17*(1+Assumptions!$B$18)^(7/12)</x:f>
        <x:v>270575.6583230182</x:v>
      </x:c>
      <x:c r="J21" t="n">
        <x:f>J20*Assumptions!$B$17*(1+Assumptions!$B$18)^(8/12)</x:f>
        <x:v>278310.20885529334</x:v>
      </x:c>
      <x:c r="K21" t="n">
        <x:f>K20*Assumptions!$B$17*(1+Assumptions!$B$18)^(9/12)</x:f>
        <x:v>286086.939509337</x:v>
      </x:c>
      <x:c r="L21" t="n">
        <x:f>L20*Assumptions!$B$17*(1+Assumptions!$B$18)^(10/12)</x:f>
        <x:v>293906.0287262389</x:v>
      </x:c>
      <x:c r="M21" t="n">
        <x:f>M20*Assumptions!$B$17*(1+Assumptions!$B$18)^(11/12)</x:f>
        <x:v>301767.65562401025</x:v>
      </x:c>
      <x:c r="N21" t="n">
        <x:f>N20*Assumptions!$B$17*(1+Assumptions!$B$18)^(12/12)</x:f>
        <x:v>309672</x:v>
      </x:c>
      <x:c r="O21" t="n">
        <x:f>O20*Assumptions!$B$17*(1+Assumptions!$B$18)^(13/12)</x:f>
        <x:v>317619.24233331875</x:v>
      </x:c>
      <x:c r="P21" t="n">
        <x:f>P20*Assumptions!$B$17*(1+Assumptions!$B$18)^(14/12)</x:f>
        <x:v>325609.56378727173</x:v>
      </x:c>
      <x:c r="Q21" t="n">
        <x:f>Q20*Assumptions!$B$17*(1+Assumptions!$B$18)^(15/12)</x:f>
        <x:v>333643.1462117996</x:v>
      </x:c>
      <x:c r="R21" t="n">
        <x:f>R20*Assumptions!$B$17*(1+Assumptions!$B$18)^(16/12)</x:f>
        <x:v>341720.1721459279</x:v>
      </x:c>
      <x:c r="S21" t="n">
        <x:f>S20*Assumptions!$B$17*(1+Assumptions!$B$18)^(17/12)</x:f>
        <x:v>349840.82482022484</x:v>
      </x:c>
      <x:c r="T21" t="n">
        <x:f>T20*Assumptions!$B$17*(1+Assumptions!$B$18)^(18/12)</x:f>
        <x:v>358005.2881592673</x:v>
      </x:c>
      <x:c r="U21" t="n">
        <x:f>U20*Assumptions!$B$17*(1+Assumptions!$B$18)^(19/12)</x:f>
        <x:v>366213.7467841157</x:v>
      </x:c>
      <x:c r="V21" t="n">
        <x:f>V20*Assumptions!$B$17*(1+Assumptions!$B$18)^(20/12)</x:f>
        <x:v>374466.38601479714</x:v>
      </x:c>
      <x:c r="W21" t="n">
        <x:f>W20*Assumptions!$B$17*(1+Assumptions!$B$18)^(21/12)</x:f>
        <x:v>382763.3918727971</x:v>
      </x:c>
      <x:c r="X21" t="n">
        <x:f>X20*Assumptions!$B$17*(1+Assumptions!$B$18)^(22/12)</x:f>
        <x:v>391104.95108355925</x:v>
      </x:c>
      <x:c r="Y21" t="n">
        <x:f>Y20*Assumptions!$B$17*(1+Assumptions!$B$18)^(23/12)</x:f>
        <x:v>399491.251078995</x:v>
      </x:c>
      <x:c r="Z21" t="n">
        <x:f>Z20*Assumptions!$B$17*(1+Assumptions!$B$18)^(24/12)</x:f>
        <x:v>407922.4799999999</x:v>
      </x:c>
      <x:c r="AA21" t="n">
        <x:f>AA20*Assumptions!$B$17*(1+Assumptions!$B$18)^(25/12)</x:f>
        <x:v>416398.8266989808</x:v>
      </x:c>
      <x:c r="AB21" t="n">
        <x:f>AB20*Assumptions!$B$17*(1+Assumptions!$B$18)^(26/12)</x:f>
        <x:v>424920.4807423895</x:v>
      </x:c>
      <x:c r="AC21" t="n">
        <x:f>AC20*Assumptions!$B$17*(1+Assumptions!$B$18)^(27/12)</x:f>
        <x:v>433487.63241326687</x:v>
      </x:c>
      <x:c r="AD21" t="n">
        <x:f>AD20*Assumptions!$B$17*(1+Assumptions!$B$18)^(28/12)</x:f>
        <x:v>442100.4727137942</x:v>
      </x:c>
      <x:c r="AE21" t="n">
        <x:f>AE20*Assumptions!$B$17*(1+Assumptions!$B$18)^(29/12)</x:f>
        <x:v>450759.1933678549</x:v>
      </x:c>
      <x:c r="AF21" t="n">
        <x:f>AF20*Assumptions!$B$17*(1+Assumptions!$B$18)^(30/12)</x:f>
        <x:v>459463.9868236035</x:v>
      </x:c>
      <x:c r="AG21" t="n">
        <x:f>AG20*Assumptions!$B$17*(1+Assumptions!$B$18)^(31/12)</x:f>
        <x:v>468215.0462560443</x:v>
      </x:c>
      <x:c r="AH21" t="n">
        <x:f>AH20*Assumptions!$B$17*(1+Assumptions!$B$18)^(32/12)</x:f>
        <x:v>477012.5655696184</x:v>
      </x:c>
      <x:c r="AI21" t="n">
        <x:f>AI20*Assumptions!$B$17*(1+Assumptions!$B$18)^(33/12)</x:f>
        <x:v>485856.7394008004</x:v>
      </x:c>
      <x:c r="AJ21" t="n">
        <x:f>AJ20*Assumptions!$B$17*(1+Assumptions!$B$18)^(34/12)</x:f>
        <x:v>494747.7631207024</x:v>
      </x:c>
      <x:c r="AK21" t="n">
        <x:f>AK20*Assumptions!$B$17*(1+Assumptions!$B$18)^(35/12)</x:f>
        <x:v>503685.8328376891</x:v>
      </x:c>
    </x:row>
    <x:row r="22">
      <x:c r="A22" t="str">
        <x:v>Total operating expenses</x:v>
      </x:c>
      <x:c r="B22" t="n">
        <x:f>SUM(B17:B19)+B21</x:f>
        <x:v>363992.272</x:v>
      </x:c>
      <x:c r="C22" t="n">
        <x:f>SUM(C17:C19)+C21</x:f>
        <x:v>378328.0608721038</x:v>
      </x:c>
      <x:c r="D22" t="n">
        <x:f>SUM(D17:D19)+D21</x:f>
        <x:v>392676.9496248848</x:v>
      </x:c>
      <x:c r="E22" t="n">
        <x:f>SUM(E17:E19)+E21</x:f>
        <x:v>407039.45472235687</x:v>
      </x:c>
      <x:c r="F22" t="n">
        <x:f>SUM(F17:F19)+F21</x:f>
        <x:v>421416.09082346235</x:v>
      </x:c>
      <x:c r="G22" t="n">
        <x:f>SUM(G17:G19)+G21</x:f>
        <x:v>435807.3708065444</x:v>
      </x:c>
      <x:c r="H22" t="n">
        <x:f>SUM(H17:H19)+H21</x:f>
        <x:v>450213.8057936468</x:v>
      </x:c>
      <x:c r="I22" t="n">
        <x:f>SUM(I17:I19)+I21</x:f>
        <x:v>464635.90517464443</x:v>
      </x:c>
      <x:c r="J22" t="n">
        <x:f>SUM(J17:J19)+J21</x:f>
        <x:v>479074.1766312052</x:v>
      </x:c>
      <x:c r="K22" t="n">
        <x:f>SUM(K17:K19)+K21</x:f>
        <x:v>493529.1261605852</x:v>
      </x:c>
      <x:c r="L22" t="n">
        <x:f>SUM(L17:L19)+L21</x:f>
        <x:v>508001.25809925795</x:v>
      </x:c>
      <x:c r="M22" t="n">
        <x:f>SUM(M17:M19)+M21</x:f>
        <x:v>522491.07514638035</x:v>
      </x:c>
      <x:c r="N22" t="n">
        <x:f>SUM(N17:N19)+N21</x:f>
        <x:v>543434.0127634765</x:v>
      </x:c>
      <x:c r="O22" t="n">
        <x:f>SUM(O17:O19)+O21</x:f>
        <x:v>559346.2149306913</x:v>
      </x:c>
      <x:c r="P22" t="n">
        <x:f>SUM(P17:P19)+P21</x:f>
        <x:v>575281.9924222415</x:v>
      </x:c>
      <x:c r="Q22" t="n">
        <x:f>SUM(Q17:Q19)+Q21</x:f>
        <x:v>591241.7901857551</x:v>
      </x:c>
      <x:c r="R22" t="n">
        <x:f>SUM(R17:R19)+R21</x:f>
        <x:v>607226.0525269903</x:v>
      </x:c>
      <x:c r="S22" t="n">
        <x:f>SUM(S17:S19)+S21</x:f>
        <x:v>623235.2231231728</x:v>
      </x:c>
      <x:c r="T22" t="n">
        <x:f>SUM(T17:T19)+T21</x:f>
        <x:v>639269.7450362744</x:v>
      </x:c>
      <x:c r="U22" t="n">
        <x:f>SUM(U17:U19)+U21</x:f>
        <x:v>655330.0607262324</x:v>
      </x:c>
      <x:c r="V22" t="n">
        <x:f>SUM(V17:V19)+V21</x:f>
        <x:v>671416.6120641095</x:v>
      </x:c>
      <x:c r="W22" t="n">
        <x:f>SUM(W17:W19)+W21</x:f>
        <x:v>687529.8403451967</x:v>
      </x:c>
      <x:c r="X22" t="n">
        <x:f>SUM(X17:X19)+X21</x:f>
        <x:v>703670.1863020556</x:v>
      </x:c>
      <x:c r="Y22" t="n">
        <x:f>SUM(Y17:Y19)+Y21</x:f>
        <x:v>719838.0901175083</x:v>
      </x:c>
      <x:c r="Z22" t="n">
        <x:f>SUM(Z17:Z19)+Z21</x:f>
        <x:v>736033.9914375651</x:v>
      </x:c>
      <x:c r="AA22" t="n">
        <x:f>SUM(AA17:AA19)+AA21</x:f>
        <x:v>752258.3293842997</x:v>
      </x:c>
      <x:c r="AB22" t="n">
        <x:f>SUM(AB17:AB19)+AB21</x:f>
        <x:v>768511.5425686671</x:v>
      </x:c>
      <x:c r="AC22" t="n">
        <x:f>SUM(AC17:AC19)+AC21</x:f>
        <x:v>784794.0691032668</x:v>
      </x:c>
      <x:c r="AD22" t="n">
        <x:f>SUM(AD17:AD19)+AD21</x:f>
        <x:v>801106.3466150505</x:v>
      </x:c>
      <x:c r="AE22" t="n">
        <x:f>SUM(AE17:AE19)+AE21</x:f>
        <x:v>817448.8122579764</x:v>
      </x:c>
      <x:c r="AF22" t="n">
        <x:f>SUM(AF17:AF19)+AF21</x:f>
        <x:v>833821.9027256091</x:v>
      </x:c>
      <x:c r="AG22" t="n">
        <x:f>SUM(AG17:AG19)+AG21</x:f>
        <x:v>850226.0542636667</x:v>
      </x:c>
      <x:c r="AH22" t="n">
        <x:f>SUM(AH17:AH19)+AH21</x:f>
        <x:v>866661.7026825142</x:v>
      </x:c>
      <x:c r="AI22" t="n">
        <x:f>SUM(AI17:AI19)+AI21</x:f>
        <x:v>883129.2833696054</x:v>
      </x:c>
      <x:c r="AJ22" t="n">
        <x:f>SUM(AJ17:AJ19)+AJ21</x:f>
        <x:v>899629.2313018725</x:v>
      </x:c>
      <x:c r="AK22" t="n">
        <x:f>SUM(AK17:AK19)+AK21</x:f>
        <x:v>916161.9810580645</x:v>
      </x:c>
    </x:row>
    <x:row r="23">
      <x:c r="A23" s="20" t="str">
        <x:v>EBITDA</x:v>
      </x:c>
      <x:c r="B23" s="20" t="n">
        <x:f>B15-B22</x:f>
        <x:v>-144403.864</x:v>
      </x:c>
      <x:c r="C23" s="20" t="n">
        <x:f>C15-C22</x:f>
        <x:v>-148402.31407278925</x:v>
      </x:c>
      <x:c r="D23" s="20" t="n">
        <x:f>D15-D22</x:f>
        <x:v>-152455.6388853282</x:v>
      </x:c>
      <x:c r="E23" s="20" t="n">
        <x:f>E15-E22</x:f>
        <x:v>-156563.8408600053</x:v>
      </x:c>
      <x:c r="F23" s="20" t="n">
        <x:f>F15-F22</x:f>
        <x:v>-160726.92431210354</x:v>
      </x:c>
      <x:c r="G23" s="20" t="n">
        <x:f>G15-G22</x:f>
        <x:v>-164944.89544110274</x:v>
      </x:c>
      <x:c r="H23" s="20" t="n">
        <x:f>H15-H22</x:f>
        <x:v>-169217.76232207968</x:v>
      </x:c>
      <x:c r="I23" s="20" t="n">
        <x:f>I15-I22</x:f>
        <x:v>-173545.534897205</x:v>
      </x:c>
      <x:c r="J23" s="20" t="n">
        <x:f>J15-J22</x:f>
        <x:v>-177928.2249673374</x:v>
      </x:c>
      <x:c r="K23" s="20" t="n">
        <x:f>K15-K22</x:f>
        <x:v>-182365.84618371289</x:v>
      </x:c>
      <x:c r="L23" s="20" t="n">
        <x:f>L15-L22</x:f>
        <x:v>-186858.41403972928</x:v>
      </x:c>
      <x:c r="M23" s="20" t="n">
        <x:f>M15-M22</x:f>
        <x:v>-191405.9458628252</x:v>
      </x:c>
      <x:c r="N23" s="20" t="n">
        <x:f>N15-N22</x:f>
        <x:v>-192790.9936182617</x:v>
      </x:c>
      <x:c r="O23" s="20" t="n">
        <x:f>O15-O22</x:f>
        <x:v>-196755.75603463233</x:v>
      </x:c>
      <x:c r="P23" s="20" t="n">
        <x:f>P15-P22</x:f>
        <x:v>-200773.34946978698</x:v>
      </x:c>
      <x:c r="Q23" s="20" t="n">
        <x:f>Q15-Q22</x:f>
        <x:v>-204843.82422482187</x:v>
      </x:c>
      <x:c r="R23" s="20" t="n">
        <x:f>R15-R22</x:f>
        <x:v>-208967.2319553967</x:v>
      </x:c>
      <x:c r="S23" s="20" t="n">
        <x:f>S15-S22</x:f>
        <x:v>-213143.62566875073</x:v>
      </x:c>
      <x:c r="T23" s="20" t="n">
        <x:f>T15-T22</x:f>
        <x:v>-217373.05972076382</x:v>
      </x:c>
      <x:c r="U23" s="20" t="n">
        <x:f>U15-U22</x:f>
        <x:v>-221655.58981305745</x:v>
      </x:c>
      <x:c r="V23" s="20" t="n">
        <x:f>V15-V22</x:f>
        <x:v>-225991.27299014095</x:v>
      </x:c>
      <x:c r="W23" s="20" t="n">
        <x:f>W15-W22</x:f>
        <x:v>-230380.1676365974</x:v>
      </x:c>
      <x:c r="X23" s="20" t="n">
        <x:f>X15-X22</x:f>
        <x:v>-234822.3334743111</x:v>
      </x:c>
      <x:c r="Y23" s="20" t="n">
        <x:f>Y15-Y22</x:f>
        <x:v>-239317.83155973844</x:v>
      </x:c>
      <x:c r="Z23" s="20" t="n">
        <x:f>Z15-Z22</x:f>
        <x:v>-243866.72428121744</x:v>
      </x:c>
      <x:c r="AA23" s="20" t="n">
        <x:f>AA15-AA22</x:f>
        <x:v>-248469.07535632147</x:v>
      </x:c>
      <x:c r="AB23" s="20" t="n">
        <x:f>AB15-AB22</x:f>
        <x:v>-253124.9498292508</x:v>
      </x:c>
      <x:c r="AC23" s="20" t="n">
        <x:f>AC15-AC22</x:f>
        <x:v>-257834.41406826698</x:v>
      </x:c>
      <x:c r="AD23" s="20" t="n">
        <x:f>AD15-AD22</x:f>
        <x:v>-262597.53576316615</x:v>
      </x:c>
      <x:c r="AE23" s="20" t="n">
        <x:f>AE15-AE22</x:f>
        <x:v>-267414.38392279414</x:v>
      </x:c>
      <x:c r="AF23" s="20" t="n">
        <x:f>AF15-AF22</x:f>
        <x:v>-272285.02887260076</x:v>
      </x:c>
      <x:c r="AG23" s="20" t="n">
        <x:f>AG15-AG22</x:f>
        <x:v>-277209.542252233</x:v>
      </x:c>
      <x:c r="AH23" s="20" t="n">
        <x:f>AH15-AH22</x:f>
        <x:v>-282187.9970131705</x:v>
      </x:c>
      <x:c r="AI23" s="20" t="n">
        <x:f>AI15-AI22</x:f>
        <x:v>-287220.4674163979</x:v>
      </x:c>
      <x:c r="AJ23" s="20" t="n">
        <x:f>AJ15-AJ22</x:f>
        <x:v>-292307.02903011744</x:v>
      </x:c>
      <x:c r="AK23" s="20" t="n">
        <x:f>AK15-AK22</x:f>
        <x:v>-297447.7587275014</x:v>
      </x:c>
    </x:row>
    <x:row r="24">
      <x:c r="A24" t="str">
        <x:v>EBITDA margin</x:v>
      </x:c>
      <x:c r="B24" s="18" t="n">
        <x:f>IFERROR(B23/B13,0)</x:f>
        <x:v>-0.5326653210218638</x:v>
      </x:c>
      <x:c r="C24" s="18" t="n">
        <x:f>IFERROR(C23/C13,0)</x:f>
        <x:v>-0.5228030182451826</x:v>
      </x:c>
      <x:c r="D24" s="18" t="n">
        <x:f>IFERROR(D23/D13,0)</x:f>
        <x:v>-0.5140637486197065</x:v>
      </x:c>
      <x:c r="E24" s="18" t="n">
        <x:f>IFERROR(E23/E13,0)</x:f>
        <x:v>-0.5063036242973186</x:v>
      </x:c>
      <x:c r="F24" s="18" t="n">
        <x:f>IFERROR(F23/F13,0)</x:f>
        <x:v>-0.4994024509535238</x:v>
      </x:c>
      <x:c r="G24" s="18" t="n">
        <x:f>IFERROR(G23/G13,0)</x:f>
        <x:v>-0.4932590427191357</x:v>
      </x:c>
      <x:c r="H24" s="18" t="n">
        <x:f>IFERROR(H23/H13,0)</x:f>
        <x:v>-0.4877876064997113</x:v>
      </x:c>
      <x:c r="I24" s="18" t="n">
        <x:f>IFERROR(I23/I13,0)</x:f>
        <x:v>-0.4829149213447234</x:v>
      </x:c>
      <x:c r="J24" s="18" t="n">
        <x:f>IFERROR(J23/J13,0)</x:f>
        <x:v>-0.4785781161169611</x:v>
      </x:c>
      <x:c r="K24" s="18" t="n">
        <x:f>IFERROR(K23/K13,0)</x:f>
        <x:v>-0.47472290245747084</x:v>
      </x:c>
      <x:c r="L24" s="18" t="n">
        <x:f>IFERROR(L23/L13,0)</x:f>
        <x:v>-0.47130215781524537</x:v>
      </x:c>
      <x:c r="M24" s="18" t="n">
        <x:f>IFERROR(M23/M13,0)</x:f>
        <x:v>-0.4682747802185543</x:v>
      </x:c>
      <x:c r="N24" s="18" t="n">
        <x:f>IFERROR(N23/N13,0)</x:f>
        <x:v>-0.4453552368202711</x:v>
      </x:c>
      <x:c r="O24" s="18" t="n">
        <x:f>IFERROR(O23/O13,0)</x:f>
        <x:v>-0.43953766150735424</x:v>
      </x:c>
      <x:c r="P24" s="18" t="n">
        <x:f>IFERROR(P23/P13,0)</x:f>
        <x:v>-0.4342394124430756</x:v>
      </x:c>
      <x:c r="Q24" s="18" t="n">
        <x:f>IFERROR(Q23/Q13,0)</x:f>
        <x:v>-0.42941089819008366</x:v>
      </x:c>
      <x:c r="R24" s="18" t="n">
        <x:f>IFERROR(R23/R13,0)</x:f>
        <x:v>-0.425008685660594</x:v>
      </x:c>
      <x:c r="S24" s="18" t="n">
        <x:f>IFERROR(S23/S13,0)</x:f>
        <x:v>-0.4209945725866187</x:v>
      </x:c>
      <x:c r="T24" s="18" t="n">
        <x:f>IFERROR(T23/T13,0)</x:f>
        <x:v>-0.4173348227235896</x:v>
      </x:c>
      <x:c r="U24" s="18" t="n">
        <x:f>IFERROR(U23/U13,0)</x:f>
        <x:v>-0.4139995314239331</x:v>
      </x:c>
      <x:c r="V24" s="18" t="n">
        <x:f>IFERROR(V23/V13,0)</x:f>
        <x:v>-0.4109620963696811</x:v>
      </x:c>
      <x:c r="W24" s="18" t="n">
        <x:f>IFERROR(W23/W13,0)</x:f>
        <x:v>-0.40819877367514457</x:v>
      </x:c>
      <x:c r="X24" s="18" t="n">
        <x:f>IFERROR(X23/X13,0)</x:f>
        <x:v>-0.40568830371517994</x:v>
      </x:c>
      <x:c r="Y24" s="18" t="n">
        <x:f>IFERROR(Y23/Y13,0)</x:f>
        <x:v>-0.4034115942274744</x:v>
      </x:c>
      <x:c r="Z24" s="18" t="n">
        <x:f>IFERROR(Z23/Z13,0)</x:f>
        <x:v>-0.4013514507153028</x:v>
      </x:c>
      <x:c r="AA24" s="18" t="n">
        <x:f>IFERROR(AA23/AA13,0)</x:f>
        <x:v>-0.3994923461139234</x:v>
      </x:c>
      <x:c r="AB24" s="18" t="n">
        <x:f>IFERROR(AB23/AB13,0)</x:f>
        <x:v>-0.3978202232073946</x:v>
      </x:c>
      <x:c r="AC24" s="18" t="n">
        <x:f>IFERROR(AC23/AC13,0)</x:f>
        <x:v>-0.39632232448881693</x:v>
      </x:c>
      <x:c r="AD24" s="18" t="n">
        <x:f>IFERROR(AD23/AD13,0)</x:f>
        <x:v>-0.3949870451175744</x:v>
      </x:c>
      <x:c r="AE24" s="18" t="n">
        <x:f>IFERROR(AE23/AE13,0)</x:f>
        <x:v>-0.3938038053964637</x:v>
      </x:c>
      <x:c r="AF24" s="18" t="n">
        <x:f>IFERROR(AF23/AF13,0)</x:f>
        <x:v>-0.39276293981103627</x:v>
      </x:c>
      <x:c r="AG24" s="18" t="n">
        <x:f>IFERROR(AG23/AG13,0)</x:f>
        <x:v>-0.39185560017479626</x:v>
      </x:c>
      <x:c r="AH24" s="18" t="n">
        <x:f>IFERROR(AH23/AH13,0)</x:f>
        <x:v>-0.39107367083161665</x:v>
      </x:c>
      <x:c r="AI24" s="18" t="n">
        <x:f>IFERROR(AI23/AI13,0)</x:f>
        <x:v>-0.390409694199843</x:v>
      </x:c>
      <x:c r="AJ24" s="18" t="n">
        <x:f>IFERROR(AJ23/AJ13,0)</x:f>
        <x:v>-0.3898568052159726</x:v>
      </x:c>
      <x:c r="AK24" s="18" t="n">
        <x:f>IFERROR(AK23/AK13,0)</x:f>
        <x:v>-0.38940867346112495</x:v>
      </x:c>
    </x:row>
    <x:row r="25">
      <x:c r="A25" t="str">
        <x:v>Depreciation</x:v>
      </x:c>
      <x:c r="B25" t="n">
        <x:f>Assumptions!$B$22</x:f>
        <x:v>12000</x:v>
      </x:c>
      <x:c r="C25" t="n">
        <x:f>Assumptions!$B$22</x:f>
        <x:v>12000</x:v>
      </x:c>
      <x:c r="D25" t="n">
        <x:f>Assumptions!$B$22</x:f>
        <x:v>12000</x:v>
      </x:c>
      <x:c r="E25" t="n">
        <x:f>Assumptions!$B$22</x:f>
        <x:v>12000</x:v>
      </x:c>
      <x:c r="F25" t="n">
        <x:f>Assumptions!$B$22</x:f>
        <x:v>12000</x:v>
      </x:c>
      <x:c r="G25" t="n">
        <x:f>Assumptions!$B$22</x:f>
        <x:v>12000</x:v>
      </x:c>
      <x:c r="H25" t="n">
        <x:f>Assumptions!$B$22</x:f>
        <x:v>12000</x:v>
      </x:c>
      <x:c r="I25" t="n">
        <x:f>Assumptions!$B$22</x:f>
        <x:v>12000</x:v>
      </x:c>
      <x:c r="J25" t="n">
        <x:f>Assumptions!$B$22</x:f>
        <x:v>12000</x:v>
      </x:c>
      <x:c r="K25" t="n">
        <x:f>Assumptions!$B$22</x:f>
        <x:v>12000</x:v>
      </x:c>
      <x:c r="L25" t="n">
        <x:f>Assumptions!$B$22</x:f>
        <x:v>12000</x:v>
      </x:c>
      <x:c r="M25" t="n">
        <x:f>Assumptions!$B$22</x:f>
        <x:v>12000</x:v>
      </x:c>
      <x:c r="N25" t="n">
        <x:f>Assumptions!$B$22</x:f>
        <x:v>12000</x:v>
      </x:c>
      <x:c r="O25" t="n">
        <x:f>Assumptions!$B$22</x:f>
        <x:v>12000</x:v>
      </x:c>
      <x:c r="P25" t="n">
        <x:f>Assumptions!$B$22</x:f>
        <x:v>12000</x:v>
      </x:c>
      <x:c r="Q25" t="n">
        <x:f>Assumptions!$B$22</x:f>
        <x:v>12000</x:v>
      </x:c>
      <x:c r="R25" t="n">
        <x:f>Assumptions!$B$22</x:f>
        <x:v>12000</x:v>
      </x:c>
      <x:c r="S25" t="n">
        <x:f>Assumptions!$B$22</x:f>
        <x:v>12000</x:v>
      </x:c>
      <x:c r="T25" t="n">
        <x:f>Assumptions!$B$22</x:f>
        <x:v>12000</x:v>
      </x:c>
      <x:c r="U25" t="n">
        <x:f>Assumptions!$B$22</x:f>
        <x:v>12000</x:v>
      </x:c>
      <x:c r="V25" t="n">
        <x:f>Assumptions!$B$22</x:f>
        <x:v>12000</x:v>
      </x:c>
      <x:c r="W25" t="n">
        <x:f>Assumptions!$B$22</x:f>
        <x:v>12000</x:v>
      </x:c>
      <x:c r="X25" t="n">
        <x:f>Assumptions!$B$22</x:f>
        <x:v>12000</x:v>
      </x:c>
      <x:c r="Y25" t="n">
        <x:f>Assumptions!$B$22</x:f>
        <x:v>12000</x:v>
      </x:c>
      <x:c r="Z25" t="n">
        <x:f>Assumptions!$B$22</x:f>
        <x:v>12000</x:v>
      </x:c>
      <x:c r="AA25" t="n">
        <x:f>Assumptions!$B$22</x:f>
        <x:v>12000</x:v>
      </x:c>
      <x:c r="AB25" t="n">
        <x:f>Assumptions!$B$22</x:f>
        <x:v>12000</x:v>
      </x:c>
      <x:c r="AC25" t="n">
        <x:f>Assumptions!$B$22</x:f>
        <x:v>12000</x:v>
      </x:c>
      <x:c r="AD25" t="n">
        <x:f>Assumptions!$B$22</x:f>
        <x:v>12000</x:v>
      </x:c>
      <x:c r="AE25" t="n">
        <x:f>Assumptions!$B$22</x:f>
        <x:v>12000</x:v>
      </x:c>
      <x:c r="AF25" t="n">
        <x:f>Assumptions!$B$22</x:f>
        <x:v>12000</x:v>
      </x:c>
      <x:c r="AG25" t="n">
        <x:f>Assumptions!$B$22</x:f>
        <x:v>12000</x:v>
      </x:c>
      <x:c r="AH25" t="n">
        <x:f>Assumptions!$B$22</x:f>
        <x:v>12000</x:v>
      </x:c>
      <x:c r="AI25" t="n">
        <x:f>Assumptions!$B$22</x:f>
        <x:v>12000</x:v>
      </x:c>
      <x:c r="AJ25" t="n">
        <x:f>Assumptions!$B$22</x:f>
        <x:v>12000</x:v>
      </x:c>
      <x:c r="AK25" t="n">
        <x:f>Assumptions!$B$22</x:f>
        <x:v>12000</x:v>
      </x:c>
    </x:row>
    <x:row r="26">
      <x:c r="A26" t="str">
        <x:v>EBIT</x:v>
      </x:c>
      <x:c r="B26" t="n">
        <x:f>B23-B25</x:f>
        <x:v>-156403.864</x:v>
      </x:c>
      <x:c r="C26" t="n">
        <x:f>C23-C25</x:f>
        <x:v>-160402.31407278925</x:v>
      </x:c>
      <x:c r="D26" t="n">
        <x:f>D23-D25</x:f>
        <x:v>-164455.6388853282</x:v>
      </x:c>
      <x:c r="E26" t="n">
        <x:f>E23-E25</x:f>
        <x:v>-168563.8408600053</x:v>
      </x:c>
      <x:c r="F26" t="n">
        <x:f>F23-F25</x:f>
        <x:v>-172726.92431210354</x:v>
      </x:c>
      <x:c r="G26" t="n">
        <x:f>G23-G25</x:f>
        <x:v>-176944.89544110274</x:v>
      </x:c>
      <x:c r="H26" t="n">
        <x:f>H23-H25</x:f>
        <x:v>-181217.76232207968</x:v>
      </x:c>
      <x:c r="I26" t="n">
        <x:f>I23-I25</x:f>
        <x:v>-185545.534897205</x:v>
      </x:c>
      <x:c r="J26" t="n">
        <x:f>J23-J25</x:f>
        <x:v>-189928.2249673374</x:v>
      </x:c>
      <x:c r="K26" t="n">
        <x:f>K23-K25</x:f>
        <x:v>-194365.84618371289</x:v>
      </x:c>
      <x:c r="L26" t="n">
        <x:f>L23-L25</x:f>
        <x:v>-198858.41403972928</x:v>
      </x:c>
      <x:c r="M26" t="n">
        <x:f>M23-M25</x:f>
        <x:v>-203405.9458628252</x:v>
      </x:c>
      <x:c r="N26" t="n">
        <x:f>N23-N25</x:f>
        <x:v>-204790.9936182617</x:v>
      </x:c>
      <x:c r="O26" t="n">
        <x:f>O23-O25</x:f>
        <x:v>-208755.75603463233</x:v>
      </x:c>
      <x:c r="P26" t="n">
        <x:f>P23-P25</x:f>
        <x:v>-212773.34946978698</x:v>
      </x:c>
      <x:c r="Q26" t="n">
        <x:f>Q23-Q25</x:f>
        <x:v>-216843.82422482187</x:v>
      </x:c>
      <x:c r="R26" t="n">
        <x:f>R23-R25</x:f>
        <x:v>-220967.2319553967</x:v>
      </x:c>
      <x:c r="S26" t="n">
        <x:f>S23-S25</x:f>
        <x:v>-225143.62566875073</x:v>
      </x:c>
      <x:c r="T26" t="n">
        <x:f>T23-T25</x:f>
        <x:v>-229373.05972076382</x:v>
      </x:c>
      <x:c r="U26" t="n">
        <x:f>U23-U25</x:f>
        <x:v>-233655.58981305745</x:v>
      </x:c>
      <x:c r="V26" t="n">
        <x:f>V23-V25</x:f>
        <x:v>-237991.27299014095</x:v>
      </x:c>
      <x:c r="W26" t="n">
        <x:f>W23-W25</x:f>
        <x:v>-242380.1676365974</x:v>
      </x:c>
      <x:c r="X26" t="n">
        <x:f>X23-X25</x:f>
        <x:v>-246822.3334743111</x:v>
      </x:c>
      <x:c r="Y26" t="n">
        <x:f>Y23-Y25</x:f>
        <x:v>-251317.83155973844</x:v>
      </x:c>
      <x:c r="Z26" t="n">
        <x:f>Z23-Z25</x:f>
        <x:v>-255866.72428121744</x:v>
      </x:c>
      <x:c r="AA26" t="n">
        <x:f>AA23-AA25</x:f>
        <x:v>-260469.07535632147</x:v>
      </x:c>
      <x:c r="AB26" t="n">
        <x:f>AB23-AB25</x:f>
        <x:v>-265124.9498292508</x:v>
      </x:c>
      <x:c r="AC26" t="n">
        <x:f>AC23-AC25</x:f>
        <x:v>-269834.414068267</x:v>
      </x:c>
      <x:c r="AD26" t="n">
        <x:f>AD23-AD25</x:f>
        <x:v>-274597.53576316615</x:v>
      </x:c>
      <x:c r="AE26" t="n">
        <x:f>AE23-AE25</x:f>
        <x:v>-279414.38392279414</x:v>
      </x:c>
      <x:c r="AF26" t="n">
        <x:f>AF23-AF25</x:f>
        <x:v>-284285.02887260076</x:v>
      </x:c>
      <x:c r="AG26" t="n">
        <x:f>AG23-AG25</x:f>
        <x:v>-289209.542252233</x:v>
      </x:c>
      <x:c r="AH26" t="n">
        <x:f>AH23-AH25</x:f>
        <x:v>-294187.9970131705</x:v>
      </x:c>
      <x:c r="AI26" t="n">
        <x:f>AI23-AI25</x:f>
        <x:v>-299220.4674163979</x:v>
      </x:c>
      <x:c r="AJ26" t="n">
        <x:f>AJ23-AJ25</x:f>
        <x:v>-304307.02903011744</x:v>
      </x:c>
      <x:c r="AK26" t="n">
        <x:f>AK23-AK25</x:f>
        <x:v>-309447.7587275014</x:v>
      </x:c>
    </x:row>
    <x:row r="27">
      <x:c r="A27" t="str">
        <x:v>Interest</x:v>
      </x:c>
      <x:c r="B27" t="n">
        <x:f>Assumptions!$B$23</x:f>
        <x:v>3000</x:v>
      </x:c>
      <x:c r="C27" t="n">
        <x:f>Assumptions!$B$23</x:f>
        <x:v>3000</x:v>
      </x:c>
      <x:c r="D27" t="n">
        <x:f>Assumptions!$B$23</x:f>
        <x:v>3000</x:v>
      </x:c>
      <x:c r="E27" t="n">
        <x:f>Assumptions!$B$23</x:f>
        <x:v>3000</x:v>
      </x:c>
      <x:c r="F27" t="n">
        <x:f>Assumptions!$B$23</x:f>
        <x:v>3000</x:v>
      </x:c>
      <x:c r="G27" t="n">
        <x:f>Assumptions!$B$23</x:f>
        <x:v>3000</x:v>
      </x:c>
      <x:c r="H27" t="n">
        <x:f>Assumptions!$B$23</x:f>
        <x:v>3000</x:v>
      </x:c>
      <x:c r="I27" t="n">
        <x:f>Assumptions!$B$23</x:f>
        <x:v>3000</x:v>
      </x:c>
      <x:c r="J27" t="n">
        <x:f>Assumptions!$B$23</x:f>
        <x:v>3000</x:v>
      </x:c>
      <x:c r="K27" t="n">
        <x:f>Assumptions!$B$23</x:f>
        <x:v>3000</x:v>
      </x:c>
      <x:c r="L27" t="n">
        <x:f>Assumptions!$B$23</x:f>
        <x:v>3000</x:v>
      </x:c>
      <x:c r="M27" t="n">
        <x:f>Assumptions!$B$23</x:f>
        <x:v>3000</x:v>
      </x:c>
      <x:c r="N27" t="n">
        <x:f>Assumptions!$B$23</x:f>
        <x:v>3000</x:v>
      </x:c>
      <x:c r="O27" t="n">
        <x:f>Assumptions!$B$23</x:f>
        <x:v>3000</x:v>
      </x:c>
      <x:c r="P27" t="n">
        <x:f>Assumptions!$B$23</x:f>
        <x:v>3000</x:v>
      </x:c>
      <x:c r="Q27" t="n">
        <x:f>Assumptions!$B$23</x:f>
        <x:v>3000</x:v>
      </x:c>
      <x:c r="R27" t="n">
        <x:f>Assumptions!$B$23</x:f>
        <x:v>3000</x:v>
      </x:c>
      <x:c r="S27" t="n">
        <x:f>Assumptions!$B$23</x:f>
        <x:v>3000</x:v>
      </x:c>
      <x:c r="T27" t="n">
        <x:f>Assumptions!$B$23</x:f>
        <x:v>3000</x:v>
      </x:c>
      <x:c r="U27" t="n">
        <x:f>Assumptions!$B$23</x:f>
        <x:v>3000</x:v>
      </x:c>
      <x:c r="V27" t="n">
        <x:f>Assumptions!$B$23</x:f>
        <x:v>3000</x:v>
      </x:c>
      <x:c r="W27" t="n">
        <x:f>Assumptions!$B$23</x:f>
        <x:v>3000</x:v>
      </x:c>
      <x:c r="X27" t="n">
        <x:f>Assumptions!$B$23</x:f>
        <x:v>3000</x:v>
      </x:c>
      <x:c r="Y27" t="n">
        <x:f>Assumptions!$B$23</x:f>
        <x:v>3000</x:v>
      </x:c>
      <x:c r="Z27" t="n">
        <x:f>Assumptions!$B$23</x:f>
        <x:v>3000</x:v>
      </x:c>
      <x:c r="AA27" t="n">
        <x:f>Assumptions!$B$23</x:f>
        <x:v>3000</x:v>
      </x:c>
      <x:c r="AB27" t="n">
        <x:f>Assumptions!$B$23</x:f>
        <x:v>3000</x:v>
      </x:c>
      <x:c r="AC27" t="n">
        <x:f>Assumptions!$B$23</x:f>
        <x:v>3000</x:v>
      </x:c>
      <x:c r="AD27" t="n">
        <x:f>Assumptions!$B$23</x:f>
        <x:v>3000</x:v>
      </x:c>
      <x:c r="AE27" t="n">
        <x:f>Assumptions!$B$23</x:f>
        <x:v>3000</x:v>
      </x:c>
      <x:c r="AF27" t="n">
        <x:f>Assumptions!$B$23</x:f>
        <x:v>3000</x:v>
      </x:c>
      <x:c r="AG27" t="n">
        <x:f>Assumptions!$B$23</x:f>
        <x:v>3000</x:v>
      </x:c>
      <x:c r="AH27" t="n">
        <x:f>Assumptions!$B$23</x:f>
        <x:v>3000</x:v>
      </x:c>
      <x:c r="AI27" t="n">
        <x:f>Assumptions!$B$23</x:f>
        <x:v>3000</x:v>
      </x:c>
      <x:c r="AJ27" t="n">
        <x:f>Assumptions!$B$23</x:f>
        <x:v>3000</x:v>
      </x:c>
      <x:c r="AK27" t="n">
        <x:f>Assumptions!$B$23</x:f>
        <x:v>3000</x:v>
      </x:c>
    </x:row>
    <x:row r="28">
      <x:c r="A28" t="str">
        <x:v>Tax</x:v>
      </x:c>
      <x:c r="B28" t="n">
        <x:f>MAX(0,(B26-B27)*Assumptions!$B$21)</x:f>
        <x:v>0</x:v>
      </x:c>
      <x:c r="C28" t="n">
        <x:f>MAX(0,(C26-C27)*Assumptions!$B$21)</x:f>
        <x:v>0</x:v>
      </x:c>
      <x:c r="D28" t="n">
        <x:f>MAX(0,(D26-D27)*Assumptions!$B$21)</x:f>
        <x:v>0</x:v>
      </x:c>
      <x:c r="E28" t="n">
        <x:f>MAX(0,(E26-E27)*Assumptions!$B$21)</x:f>
        <x:v>0</x:v>
      </x:c>
      <x:c r="F28" t="n">
        <x:f>MAX(0,(F26-F27)*Assumptions!$B$21)</x:f>
        <x:v>0</x:v>
      </x:c>
      <x:c r="G28" t="n">
        <x:f>MAX(0,(G26-G27)*Assumptions!$B$21)</x:f>
        <x:v>0</x:v>
      </x:c>
      <x:c r="H28" t="n">
        <x:f>MAX(0,(H26-H27)*Assumptions!$B$21)</x:f>
        <x:v>0</x:v>
      </x:c>
      <x:c r="I28" t="n">
        <x:f>MAX(0,(I26-I27)*Assumptions!$B$21)</x:f>
        <x:v>0</x:v>
      </x:c>
      <x:c r="J28" t="n">
        <x:f>MAX(0,(J26-J27)*Assumptions!$B$21)</x:f>
        <x:v>0</x:v>
      </x:c>
      <x:c r="K28" t="n">
        <x:f>MAX(0,(K26-K27)*Assumptions!$B$21)</x:f>
        <x:v>0</x:v>
      </x:c>
      <x:c r="L28" t="n">
        <x:f>MAX(0,(L26-L27)*Assumptions!$B$21)</x:f>
        <x:v>0</x:v>
      </x:c>
      <x:c r="M28" t="n">
        <x:f>MAX(0,(M26-M27)*Assumptions!$B$21)</x:f>
        <x:v>0</x:v>
      </x:c>
      <x:c r="N28" t="n">
        <x:f>MAX(0,(N26-N27)*Assumptions!$B$21)</x:f>
        <x:v>0</x:v>
      </x:c>
      <x:c r="O28" t="n">
        <x:f>MAX(0,(O26-O27)*Assumptions!$B$21)</x:f>
        <x:v>0</x:v>
      </x:c>
      <x:c r="P28" t="n">
        <x:f>MAX(0,(P26-P27)*Assumptions!$B$21)</x:f>
        <x:v>0</x:v>
      </x:c>
      <x:c r="Q28" t="n">
        <x:f>MAX(0,(Q26-Q27)*Assumptions!$B$21)</x:f>
        <x:v>0</x:v>
      </x:c>
      <x:c r="R28" t="n">
        <x:f>MAX(0,(R26-R27)*Assumptions!$B$21)</x:f>
        <x:v>0</x:v>
      </x:c>
      <x:c r="S28" t="n">
        <x:f>MAX(0,(S26-S27)*Assumptions!$B$21)</x:f>
        <x:v>0</x:v>
      </x:c>
      <x:c r="T28" t="n">
        <x:f>MAX(0,(T26-T27)*Assumptions!$B$21)</x:f>
        <x:v>0</x:v>
      </x:c>
      <x:c r="U28" t="n">
        <x:f>MAX(0,(U26-U27)*Assumptions!$B$21)</x:f>
        <x:v>0</x:v>
      </x:c>
      <x:c r="V28" t="n">
        <x:f>MAX(0,(V26-V27)*Assumptions!$B$21)</x:f>
        <x:v>0</x:v>
      </x:c>
      <x:c r="W28" t="n">
        <x:f>MAX(0,(W26-W27)*Assumptions!$B$21)</x:f>
        <x:v>0</x:v>
      </x:c>
      <x:c r="X28" t="n">
        <x:f>MAX(0,(X26-X27)*Assumptions!$B$21)</x:f>
        <x:v>0</x:v>
      </x:c>
      <x:c r="Y28" t="n">
        <x:f>MAX(0,(Y26-Y27)*Assumptions!$B$21)</x:f>
        <x:v>0</x:v>
      </x:c>
      <x:c r="Z28" t="n">
        <x:f>MAX(0,(Z26-Z27)*Assumptions!$B$21)</x:f>
        <x:v>0</x:v>
      </x:c>
      <x:c r="AA28" t="n">
        <x:f>MAX(0,(AA26-AA27)*Assumptions!$B$21)</x:f>
        <x:v>0</x:v>
      </x:c>
      <x:c r="AB28" t="n">
        <x:f>MAX(0,(AB26-AB27)*Assumptions!$B$21)</x:f>
        <x:v>0</x:v>
      </x:c>
      <x:c r="AC28" t="n">
        <x:f>MAX(0,(AC26-AC27)*Assumptions!$B$21)</x:f>
        <x:v>0</x:v>
      </x:c>
      <x:c r="AD28" t="n">
        <x:f>MAX(0,(AD26-AD27)*Assumptions!$B$21)</x:f>
        <x:v>0</x:v>
      </x:c>
      <x:c r="AE28" t="n">
        <x:f>MAX(0,(AE26-AE27)*Assumptions!$B$21)</x:f>
        <x:v>0</x:v>
      </x:c>
      <x:c r="AF28" t="n">
        <x:f>MAX(0,(AF26-AF27)*Assumptions!$B$21)</x:f>
        <x:v>0</x:v>
      </x:c>
      <x:c r="AG28" t="n">
        <x:f>MAX(0,(AG26-AG27)*Assumptions!$B$21)</x:f>
        <x:v>0</x:v>
      </x:c>
      <x:c r="AH28" t="n">
        <x:f>MAX(0,(AH26-AH27)*Assumptions!$B$21)</x:f>
        <x:v>0</x:v>
      </x:c>
      <x:c r="AI28" t="n">
        <x:f>MAX(0,(AI26-AI27)*Assumptions!$B$21)</x:f>
        <x:v>0</x:v>
      </x:c>
      <x:c r="AJ28" t="n">
        <x:f>MAX(0,(AJ26-AJ27)*Assumptions!$B$21)</x:f>
        <x:v>0</x:v>
      </x:c>
      <x:c r="AK28" t="n">
        <x:f>MAX(0,(AK26-AK27)*Assumptions!$B$21)</x:f>
        <x:v>0</x:v>
      </x:c>
    </x:row>
    <x:row r="29">
      <x:c r="A29" s="20" t="str">
        <x:v>Net income</x:v>
      </x:c>
      <x:c r="B29" s="20" t="n">
        <x:f>B26-B27-B28</x:f>
        <x:v>-159403.864</x:v>
      </x:c>
      <x:c r="C29" s="20" t="n">
        <x:f>C26-C27-C28</x:f>
        <x:v>-163402.31407278925</x:v>
      </x:c>
      <x:c r="D29" s="20" t="n">
        <x:f>D26-D27-D28</x:f>
        <x:v>-167455.6388853282</x:v>
      </x:c>
      <x:c r="E29" s="20" t="n">
        <x:f>E26-E27-E28</x:f>
        <x:v>-171563.8408600053</x:v>
      </x:c>
      <x:c r="F29" s="20" t="n">
        <x:f>F26-F27-F28</x:f>
        <x:v>-175726.92431210354</x:v>
      </x:c>
      <x:c r="G29" s="20" t="n">
        <x:f>G26-G27-G28</x:f>
        <x:v>-179944.89544110274</x:v>
      </x:c>
      <x:c r="H29" s="20" t="n">
        <x:f>H26-H27-H28</x:f>
        <x:v>-184217.76232207968</x:v>
      </x:c>
      <x:c r="I29" s="20" t="n">
        <x:f>I26-I27-I28</x:f>
        <x:v>-188545.534897205</x:v>
      </x:c>
      <x:c r="J29" s="20" t="n">
        <x:f>J26-J27-J28</x:f>
        <x:v>-192928.2249673374</x:v>
      </x:c>
      <x:c r="K29" s="20" t="n">
        <x:f>K26-K27-K28</x:f>
        <x:v>-197365.84618371289</x:v>
      </x:c>
      <x:c r="L29" s="20" t="n">
        <x:f>L26-L27-L28</x:f>
        <x:v>-201858.41403972928</x:v>
      </x:c>
      <x:c r="M29" s="20" t="n">
        <x:f>M26-M27-M28</x:f>
        <x:v>-206405.9458628252</x:v>
      </x:c>
      <x:c r="N29" s="20" t="n">
        <x:f>N26-N27-N28</x:f>
        <x:v>-207790.9936182617</x:v>
      </x:c>
      <x:c r="O29" s="20" t="n">
        <x:f>O26-O27-O28</x:f>
        <x:v>-211755.75603463233</x:v>
      </x:c>
      <x:c r="P29" s="20" t="n">
        <x:f>P26-P27-P28</x:f>
        <x:v>-215773.34946978698</x:v>
      </x:c>
      <x:c r="Q29" s="20" t="n">
        <x:f>Q26-Q27-Q28</x:f>
        <x:v>-219843.82422482187</x:v>
      </x:c>
      <x:c r="R29" s="20" t="n">
        <x:f>R26-R27-R28</x:f>
        <x:v>-223967.2319553967</x:v>
      </x:c>
      <x:c r="S29" s="20" t="n">
        <x:f>S26-S27-S28</x:f>
        <x:v>-228143.62566875073</x:v>
      </x:c>
      <x:c r="T29" s="20" t="n">
        <x:f>T26-T27-T28</x:f>
        <x:v>-232373.05972076382</x:v>
      </x:c>
      <x:c r="U29" s="20" t="n">
        <x:f>U26-U27-U28</x:f>
        <x:v>-236655.58981305745</x:v>
      </x:c>
      <x:c r="V29" s="20" t="n">
        <x:f>V26-V27-V28</x:f>
        <x:v>-240991.27299014095</x:v>
      </x:c>
      <x:c r="W29" s="20" t="n">
        <x:f>W26-W27-W28</x:f>
        <x:v>-245380.1676365974</x:v>
      </x:c>
      <x:c r="X29" s="20" t="n">
        <x:f>X26-X27-X28</x:f>
        <x:v>-249822.3334743111</x:v>
      </x:c>
      <x:c r="Y29" s="20" t="n">
        <x:f>Y26-Y27-Y28</x:f>
        <x:v>-254317.83155973844</x:v>
      </x:c>
      <x:c r="Z29" s="20" t="n">
        <x:f>Z26-Z27-Z28</x:f>
        <x:v>-258866.72428121744</x:v>
      </x:c>
      <x:c r="AA29" s="20" t="n">
        <x:f>AA26-AA27-AA28</x:f>
        <x:v>-263469.07535632147</x:v>
      </x:c>
      <x:c r="AB29" s="20" t="n">
        <x:f>AB26-AB27-AB28</x:f>
        <x:v>-268124.9498292508</x:v>
      </x:c>
      <x:c r="AC29" s="20" t="n">
        <x:f>AC26-AC27-AC28</x:f>
        <x:v>-272834.414068267</x:v>
      </x:c>
      <x:c r="AD29" s="20" t="n">
        <x:f>AD26-AD27-AD28</x:f>
        <x:v>-277597.53576316615</x:v>
      </x:c>
      <x:c r="AE29" s="20" t="n">
        <x:f>AE26-AE27-AE28</x:f>
        <x:v>-282414.38392279414</x:v>
      </x:c>
      <x:c r="AF29" s="20" t="n">
        <x:f>AF26-AF27-AF28</x:f>
        <x:v>-287285.02887260076</x:v>
      </x:c>
      <x:c r="AG29" s="20" t="n">
        <x:f>AG26-AG27-AG28</x:f>
        <x:v>-292209.542252233</x:v>
      </x:c>
      <x:c r="AH29" s="20" t="n">
        <x:f>AH26-AH27-AH28</x:f>
        <x:v>-297187.9970131705</x:v>
      </x:c>
      <x:c r="AI29" s="20" t="n">
        <x:f>AI26-AI27-AI28</x:f>
        <x:v>-302220.4674163979</x:v>
      </x:c>
      <x:c r="AJ29" s="20" t="n">
        <x:f>AJ26-AJ27-AJ28</x:f>
        <x:v>-307307.02903011744</x:v>
      </x:c>
      <x:c r="AK29" s="20" t="n">
        <x:f>AK26-AK27-AK28</x:f>
        <x:v>-312447.7587275014</x:v>
      </x:c>
    </x:row>
    <x:row r="30">
      <x:c r="A30" t="str">
        <x:v>Capital expenditure</x:v>
      </x:c>
      <x:c r="B30" t="n">
        <x:f>Assumptions!$B$20</x:f>
        <x:v>18000</x:v>
      </x:c>
      <x:c r="C30" t="n">
        <x:f>Assumptions!$B$20</x:f>
        <x:v>18000</x:v>
      </x:c>
      <x:c r="D30" t="n">
        <x:f>Assumptions!$B$20</x:f>
        <x:v>18000</x:v>
      </x:c>
      <x:c r="E30" t="n">
        <x:f>Assumptions!$B$20</x:f>
        <x:v>18000</x:v>
      </x:c>
      <x:c r="F30" t="n">
        <x:f>Assumptions!$B$20</x:f>
        <x:v>18000</x:v>
      </x:c>
      <x:c r="G30" t="n">
        <x:f>Assumptions!$B$20</x:f>
        <x:v>18000</x:v>
      </x:c>
      <x:c r="H30" t="n">
        <x:f>Assumptions!$B$20</x:f>
        <x:v>18000</x:v>
      </x:c>
      <x:c r="I30" t="n">
        <x:f>Assumptions!$B$20</x:f>
        <x:v>18000</x:v>
      </x:c>
      <x:c r="J30" t="n">
        <x:f>Assumptions!$B$20</x:f>
        <x:v>18000</x:v>
      </x:c>
      <x:c r="K30" t="n">
        <x:f>Assumptions!$B$20</x:f>
        <x:v>18000</x:v>
      </x:c>
      <x:c r="L30" t="n">
        <x:f>Assumptions!$B$20</x:f>
        <x:v>18000</x:v>
      </x:c>
      <x:c r="M30" t="n">
        <x:f>Assumptions!$B$20</x:f>
        <x:v>18000</x:v>
      </x:c>
      <x:c r="N30" t="n">
        <x:f>Assumptions!$B$20</x:f>
        <x:v>18000</x:v>
      </x:c>
      <x:c r="O30" t="n">
        <x:f>Assumptions!$B$20</x:f>
        <x:v>18000</x:v>
      </x:c>
      <x:c r="P30" t="n">
        <x:f>Assumptions!$B$20</x:f>
        <x:v>18000</x:v>
      </x:c>
      <x:c r="Q30" t="n">
        <x:f>Assumptions!$B$20</x:f>
        <x:v>18000</x:v>
      </x:c>
      <x:c r="R30" t="n">
        <x:f>Assumptions!$B$20</x:f>
        <x:v>18000</x:v>
      </x:c>
      <x:c r="S30" t="n">
        <x:f>Assumptions!$B$20</x:f>
        <x:v>18000</x:v>
      </x:c>
      <x:c r="T30" t="n">
        <x:f>Assumptions!$B$20</x:f>
        <x:v>18000</x:v>
      </x:c>
      <x:c r="U30" t="n">
        <x:f>Assumptions!$B$20</x:f>
        <x:v>18000</x:v>
      </x:c>
      <x:c r="V30" t="n">
        <x:f>Assumptions!$B$20</x:f>
        <x:v>18000</x:v>
      </x:c>
      <x:c r="W30" t="n">
        <x:f>Assumptions!$B$20</x:f>
        <x:v>18000</x:v>
      </x:c>
      <x:c r="X30" t="n">
        <x:f>Assumptions!$B$20</x:f>
        <x:v>18000</x:v>
      </x:c>
      <x:c r="Y30" t="n">
        <x:f>Assumptions!$B$20</x:f>
        <x:v>18000</x:v>
      </x:c>
      <x:c r="Z30" t="n">
        <x:f>Assumptions!$B$20</x:f>
        <x:v>18000</x:v>
      </x:c>
      <x:c r="AA30" t="n">
        <x:f>Assumptions!$B$20</x:f>
        <x:v>18000</x:v>
      </x:c>
      <x:c r="AB30" t="n">
        <x:f>Assumptions!$B$20</x:f>
        <x:v>18000</x:v>
      </x:c>
      <x:c r="AC30" t="n">
        <x:f>Assumptions!$B$20</x:f>
        <x:v>18000</x:v>
      </x:c>
      <x:c r="AD30" t="n">
        <x:f>Assumptions!$B$20</x:f>
        <x:v>18000</x:v>
      </x:c>
      <x:c r="AE30" t="n">
        <x:f>Assumptions!$B$20</x:f>
        <x:v>18000</x:v>
      </x:c>
      <x:c r="AF30" t="n">
        <x:f>Assumptions!$B$20</x:f>
        <x:v>18000</x:v>
      </x:c>
      <x:c r="AG30" t="n">
        <x:f>Assumptions!$B$20</x:f>
        <x:v>18000</x:v>
      </x:c>
      <x:c r="AH30" t="n">
        <x:f>Assumptions!$B$20</x:f>
        <x:v>18000</x:v>
      </x:c>
      <x:c r="AI30" t="n">
        <x:f>Assumptions!$B$20</x:f>
        <x:v>18000</x:v>
      </x:c>
      <x:c r="AJ30" t="n">
        <x:f>Assumptions!$B$20</x:f>
        <x:v>18000</x:v>
      </x:c>
      <x:c r="AK30" t="n">
        <x:f>Assumptions!$B$20</x:f>
        <x:v>18000</x:v>
      </x:c>
    </x:row>
    <x:row r="31">
      <x:c r="A31" t="str">
        <x:v>Receivables</x:v>
      </x:c>
      <x:c r="B31" t="n">
        <x:f>B13*Assumptions!$B$24</x:f>
        <x:v>27109.68</x:v>
      </x:c>
      <x:c r="C31" t="n">
        <x:f>C13*Assumptions!$B$24</x:f>
        <x:v>28385.894666582044</x:v>
      </x:c>
      <x:c r="D31" t="n">
        <x:f>D13*Assumptions!$B$24</x:f>
        <x:v>29656.95194315514</x:v>
      </x:c>
      <x:c r="E31" t="n">
        <x:f>E13*Assumptions!$B$24</x:f>
        <x:v>30922.915291648344</x:v>
      </x:c>
      <x:c r="F31" t="n">
        <x:f>F13*Assumptions!$B$24</x:f>
        <x:v>32183.847717451707</x:v>
      </x:c>
      <x:c r="G31" t="n">
        <x:f>G13*Assumptions!$B$24</x:f>
        <x:v>33439.81177351131</x:v>
      </x:c>
      <x:c r="H31" t="n">
        <x:f>H13*Assumptions!$B$24</x:f>
        <x:v>34690.869564390996</x:v>
      </x:c>
      <x:c r="I31" t="n">
        <x:f>I13*Assumptions!$B$24</x:f>
        <x:v>35937.08275030116</x:v>
      </x:c>
      <x:c r="J31" t="n">
        <x:f>J13*Assumptions!$B$24</x:f>
        <x:v>37178.51255109479</x:v>
      </x:c>
      <x:c r="K31" t="n">
        <x:f>K13*Assumptions!$B$24</x:f>
        <x:v>38415.219750231154</x:v>
      </x:c>
      <x:c r="L31" t="n">
        <x:f>L13*Assumptions!$B$24</x:f>
        <x:v>39647.264698707244</x:v>
      </x:c>
      <x:c r="M31" t="n">
        <x:f>M13*Assumptions!$B$24</x:f>
        <x:v>40874.70731895743</x:v>
      </x:c>
      <x:c r="N31" t="n">
        <x:f>N13*Assumptions!$B$24</x:f>
        <x:v>43289.261622866026</x:v>
      </x:c>
      <x:c r="O31" t="n">
        <x:f>O13*Assumptions!$B$24</x:f>
        <x:v>44764.254184698635</x:v>
      </x:c>
      <x:c r="P31" t="n">
        <x:f>P13*Assumptions!$B$24</x:f>
        <x:v>46235.634932401794</x:v>
      </x:c>
      <x:c r="Q31" t="n">
        <x:f>Q13*Assumptions!$B$24</x:f>
        <x:v>47703.45258776954</x:v>
      </x:c>
      <x:c r="R31" t="n">
        <x:f>R13*Assumptions!$B$24</x:f>
        <x:v>49167.75562612267</x:v>
      </x:c>
      <x:c r="S31" t="n">
        <x:f>S13*Assumptions!$B$24</x:f>
        <x:v>50628.59227832371</x:v>
      </x:c>
      <x:c r="T31" t="n">
        <x:f>T13*Assumptions!$B$24</x:f>
        <x:v>52086.010532779095</x:v>
      </x:c>
      <x:c r="U31" t="n">
        <x:f>U13*Assumptions!$B$24</x:f>
        <x:v>53540.058137429005</x:v>
      </x:c>
      <x:c r="V31" t="n">
        <x:f>V13*Assumptions!$B$24</x:f>
        <x:v>54990.782601724524</x:v>
      </x:c>
      <x:c r="W31" t="n">
        <x:f>W13*Assumptions!$B$24</x:f>
        <x:v>56438.2311985925</x:v>
      </x:c>
      <x:c r="X31" t="n">
        <x:f>X13*Assumptions!$B$24</x:f>
        <x:v>57882.45096638821</x:v>
      </x:c>
      <x:c r="Y31" t="n">
        <x:f>Y13*Assumptions!$B$24</x:f>
        <x:v>59323.48871083579</x:v>
      </x:c>
      <x:c r="Z31" t="n">
        <x:f>Z13*Assumptions!$B$24</x:f>
        <x:v>60761.391006956495</x:v>
      </x:c>
      <x:c r="AA31" t="n">
        <x:f>AA13*Assumptions!$B$24</x:f>
        <x:v>62196.20420098497</x:v>
      </x:c>
      <x:c r="AB31" t="n">
        <x:f>AB13*Assumptions!$B$24</x:f>
        <x:v>63627.974412273616</x:v>
      </x:c>
      <x:c r="AC31" t="n">
        <x:f>AC13*Assumptions!$B$24</x:f>
        <x:v>65056.74753518517</x:v>
      </x:c>
      <x:c r="AD31" t="n">
        <x:f>AD13*Assumptions!$B$24</x:f>
        <x:v>66482.56924097337</x:v>
      </x:c>
      <x:c r="AE31" t="n">
        <x:f>AE13*Assumptions!$B$24</x:f>
        <x:v>67905.48497965213</x:v>
      </x:c>
      <x:c r="AF31" t="n">
        <x:f>AF13*Assumptions!$B$24</x:f>
        <x:v>69325.5399818529</x:v>
      </x:c>
      <x:c r="AG31" t="n">
        <x:f>AG13*Assumptions!$B$24</x:f>
        <x:v>70742.77926067084</x:v>
      </x:c>
      <x:c r="AH31" t="n">
        <x:f>AH13*Assumptions!$B$24</x:f>
        <x:v>72157.24761349922</x:v>
      </x:c>
      <x:c r="AI31" t="n">
        <x:f>AI13*Assumptions!$B$24</x:f>
        <x:v>73568.98962385279</x:v>
      </x:c>
      <x:c r="AJ31" t="n">
        <x:f>AJ13*Assumptions!$B$24</x:f>
        <x:v>74978.04966317964</x:v>
      </x:c>
      <x:c r="AK31" t="n">
        <x:f>AK13*Assumptions!$B$24</x:f>
        <x:v>76384.47189266211</x:v>
      </x:c>
    </x:row>
    <x:row r="32">
      <x:c r="A32" t="str">
        <x:v>Payables</x:v>
      </x:c>
      <x:c r="B32" t="n">
        <x:f>(B14+B22)*Assumptions!$B$25</x:f>
        <x:v>33240.05312</x:v>
      </x:c>
      <x:c r="C32" t="n">
        <x:f>(C14+C22)*Assumptions!$B$25</x:f>
        <x:v>34580.900859088775</x:v>
      </x:c>
      <x:c r="D32" t="n">
        <x:f>(D14+D22)*Assumptions!$B$25</x:f>
        <x:v>35922.01266535037</x:v>
      </x:c>
      <x:c r="E32" t="n">
        <x:f>(E14+E22)*Assumptions!$B$25</x:f>
        <x:v>37263.439502119094</x:v>
      </x:c>
      <x:c r="F32" t="n">
        <x:f>(F14+F22)*Assumptions!$B$25</x:f>
        <x:v>38605.23211892965</x:v>
      </x:c>
      <x:c r="G32" t="n">
        <x:f>(G14+G22)*Assumptions!$B$25</x:f>
        <x:v>39947.44105409727</x:v>
      </x:c>
      <x:c r="H32" t="n">
        <x:f>(H14+H22)*Assumptions!$B$25</x:f>
        <x:v>41290.11663727917</x:v>
      </x:c>
      <x:c r="I32" t="n">
        <x:f>(I14+I22)*Assumptions!$B$25</x:f>
        <x:v>42633.30899201733</x:v>
      </x:c>
      <x:c r="J32" t="n">
        <x:f>(J14+J22)*Assumptions!$B$25</x:f>
        <x:v>43977.06803826283</x:v>
      </x:c>
      <x:c r="K32" t="n">
        <x:f>(K14+K22)*Assumptions!$B$25</x:f>
        <x:v>45321.443494881954</x:v>
      </x:c>
      <x:c r="L32" t="n">
        <x:f>(L14+L22)*Assumptions!$B$25</x:f>
        <x:v>46666.484882144134</x:v>
      </x:c>
      <x:c r="M32" t="n">
        <x:f>(M14+M22)*Assumptions!$B$25</x:f>
        <x:v>48012.24152419196</x:v>
      </x:c>
      <x:c r="N32" t="n">
        <x:f>(N14+N22)*Assumptions!$B$25</x:f>
        <x:v>50054.68878775375</x:v>
      </x:c>
      <x:c r="O32" t="n">
        <x:f>(O14+O22)*Assumptions!$B$25</x:f>
        <x:v>51551.8638305295</x:v>
      </x:c>
      <x:c r="P32" t="n">
        <x:f>(P14+P22)*Assumptions!$B$25</x:f>
        <x:v>53050.37590350439</x:v>
      </x:c>
      <x:c r="Q32" t="n">
        <x:f>(Q14+Q22)*Assumptions!$B$25</x:f>
        <x:v>54550.26800820138</x:v>
      </x:c>
      <x:c r="R32" t="n">
        <x:f>(R14+R22)*Assumptions!$B$25</x:f>
        <x:v>56051.58305732987</x:v>
      </x:c>
      <x:c r="S32" t="n">
        <x:f>(S14+S22)*Assumptions!$B$25</x:f>
        <x:v>57554.36387615903</x:v>
      </x:c>
      <x:c r="T32" t="n">
        <x:f>(T14+T22)*Assumptions!$B$25</x:f>
        <x:v>59058.65320388437</x:v>
      </x:c>
      <x:c r="U32" t="n">
        <x:f>(U14+U22)*Assumptions!$B$25</x:f>
        <x:v>60564.4936949878</x:v>
      </x:c>
      <x:c r="V32" t="n">
        <x:f>(V14+V22)*Assumptions!$B$25</x:f>
        <x:v>62071.92792059089</x:v>
      </x:c>
      <x:c r="W32" t="n">
        <x:f>(W14+W22)*Assumptions!$B$25</x:f>
        <x:v>63580.99836980179</x:v>
      </x:c>
      <x:c r="X32" t="n">
        <x:f>(X14+X22)*Assumptions!$B$25</x:f>
        <x:v>65091.74745105546</x:v>
      </x:c>
      <x:c r="Y32" t="n">
        <x:f>(Y14+Y22)*Assumptions!$B$25</x:f>
        <x:v>66604.21749344771</x:v>
      </x:c>
      <x:c r="Z32" t="n">
        <x:f>(Z14+Z22)*Assumptions!$B$25</x:f>
        <x:v>68118.45074806259</x:v>
      </x:c>
      <x:c r="AA32" t="n">
        <x:f>(AA14+AA22)*Assumptions!$B$25</x:f>
        <x:v>69634.48938929368</x:v>
      </x:c>
      <x:c r="AB32" t="n">
        <x:f>(AB14+AB22)*Assumptions!$B$25</x:f>
        <x:v>71152.37551615897</x:v>
      </x:c>
      <x:c r="AC32" t="n">
        <x:f>(AC14+AC22)*Assumptions!$B$25</x:f>
        <x:v>72672.15115360949</x:v>
      </x:c>
      <x:c r="AD32" t="n">
        <x:f>(AD14+AD22)*Assumptions!$B$25</x:f>
        <x:v>74193.85825383199</x:v>
      </x:c>
      <x:c r="AE32" t="n">
        <x:f>(AE14+AE22)*Assumptions!$B$25</x:f>
        <x:v>75717.53869754523</x:v>
      </x:c>
      <x:c r="AF32" t="n">
        <x:f>(AF14+AF22)*Assumptions!$B$25</x:f>
        <x:v>77243.23429529037</x:v>
      </x:c>
      <x:c r="AG32" t="n">
        <x:f>(AG14+AG22)*Assumptions!$B$25</x:f>
        <x:v>78770.98678871531</x:v>
      </x:c>
      <x:c r="AH32" t="n">
        <x:f>(AH14+AH22)*Assumptions!$B$25</x:f>
        <x:v>80300.83785185302</x:v>
      </x:c>
      <x:c r="AI32" t="n">
        <x:f>(AI14+AI22)*Assumptions!$B$25</x:f>
        <x:v>81832.82909239407</x:v>
      </x:c>
      <x:c r="AJ32" t="n">
        <x:f>(AJ14+AJ22)*Assumptions!$B$25</x:f>
        <x:v>83367.0020529531</x:v>
      </x:c>
      <x:c r="AK32" t="n">
        <x:f>(AK14+AK22)*Assumptions!$B$25</x:f>
        <x:v>84903.3982123298</x:v>
      </x:c>
    </x:row>
    <x:row r="33">
      <x:c r="A33" t="str">
        <x:v>Change in NWC</x:v>
      </x:c>
      <x:c r="B33" t="n">
        <x:f>(B31-B32)</x:f>
        <x:v>-6130.373119999997</x:v>
      </x:c>
      <x:c r="C33" t="n">
        <x:f>(C31-C32)-(B31-B32)</x:f>
        <x:v>-64.6330725067346</x:v>
      </x:c>
      <x:c r="D33" t="n">
        <x:f>(D31-D32)-(C31-C32)</x:f>
        <x:v>-70.05452968849568</x:v>
      </x:c>
      <x:c r="E33" t="n">
        <x:f>(E31-E32)-(D31-D32)</x:f>
        <x:v>-75.46348827552356</x:v>
      </x:c>
      <x:c r="F33" t="n">
        <x:f>(F31-F32)-(E31-E32)</x:f>
        <x:v>-80.86019100719204</x:v>
      </x:c>
      <x:c r="G33" t="n">
        <x:f>(G31-G32)-(F31-F32)</x:f>
        <x:v>-86.24487910801327</x:v>
      </x:c>
      <x:c r="H33" t="n">
        <x:f>(H31-H32)-(G31-G32)</x:f>
        <x:v>-91.61779230221873</x:v>
      </x:c>
      <x:c r="I33" t="n">
        <x:f>(I31-I32)-(H31-H32)</x:f>
        <x:v>-96.97916882799473</x:v>
      </x:c>
      <x:c r="J33" t="n">
        <x:f>(J31-J32)-(I31-I32)</x:f>
        <x:v>-102.32924545186688</x:v>
      </x:c>
      <x:c r="K33" t="n">
        <x:f>(K31-K32)-(J31-J32)</x:f>
        <x:v>-107.6682574827646</x:v>
      </x:c>
      <x:c r="L33" t="n">
        <x:f>(L31-L32)-(K31-K32)</x:f>
        <x:v>-112.99643878608913</x:v>
      </x:c>
      <x:c r="M33" t="n">
        <x:f>(M31-M32)-(L31-L32)</x:f>
        <x:v>-118.31402179763973</x:v>
      </x:c>
      <x:c r="N33" t="n">
        <x:f>(N31-N32)-(M31-M32)</x:f>
        <x:v>372.10704034680384</x:v>
      </x:c>
      <x:c r="O33" t="n">
        <x:f>(O31-O32)-(N31-N32)</x:f>
        <x:v>-22.182480943141854</x:v>
      </x:c>
      <x:c r="P33" t="n">
        <x:f>(P31-P32)-(O31-O32)</x:f>
        <x:v>-27.13132527173002</x:v>
      </x:c>
      <x:c r="Q33" t="n">
        <x:f>(Q31-Q32)-(P31-P32)</x:f>
        <x:v>-32.07444932924409</x:v>
      </x:c>
      <x:c r="R33" t="n">
        <x:f>(R31-R32)-(Q31-Q32)</x:f>
        <x:v>-37.01201077536098</x:v>
      </x:c>
      <x:c r="S33" t="n">
        <x:f>(S31-S32)-(R31-R32)</x:f>
        <x:v>-41.944166628112725</x:v>
      </x:c>
      <x:c r="T33" t="n">
        <x:f>(T31-T32)-(S31-S32)</x:f>
        <x:v>-46.871073269961926</x:v>
      </x:c>
      <x:c r="U33" t="n">
        <x:f>(U31-U32)-(T31-T32)</x:f>
        <x:v>-51.79288645352062</x:v>
      </x:c>
      <x:c r="V33" t="n">
        <x:f>(V31-V32)-(U31-U32)</x:f>
        <x:v>-56.70976130756753</x:v>
      </x:c>
      <x:c r="W33" t="n">
        <x:f>(W31-W32)-(V31-V32)</x:f>
        <x:v>-61.62185234292701</x:v>
      </x:c>
      <x:c r="X33" t="n">
        <x:f>(X31-X32)-(W31-W32)</x:f>
        <x:v>-66.52931345795514</x:v>
      </x:c>
      <x:c r="Y33" t="n">
        <x:f>(Y31-Y32)-(X31-X32)</x:f>
        <x:v>-71.43229794467334</x:v>
      </x:c>
      <x:c r="Z33" t="n">
        <x:f>(Z31-Z32)-(Y31-Y32)</x:f>
        <x:v>-76.33095849417441</x:v>
      </x:c>
      <x:c r="AA33" t="n">
        <x:f>(AA31-AA32)-(Z31-Z32)</x:f>
        <x:v>-81.22544720261794</x:v>
      </x:c>
      <x:c r="AB33" t="n">
        <x:f>(AB31-AB32)-(AA31-AA32)</x:f>
        <x:v>-86.11591557663633</x:v>
      </x:c>
      <x:c r="AC33" t="n">
        <x:f>(AC31-AC32)-(AB31-AB32)</x:f>
        <x:v>-91.00251453897363</x:v>
      </x:c>
      <x:c r="AD33" t="n">
        <x:f>(AD31-AD32)-(AC31-AC32)</x:f>
        <x:v>-95.88539443429181</x:v>
      </x:c>
      <x:c r="AE33" t="n">
        <x:f>(AE31-AE32)-(AD31-AD32)</x:f>
        <x:v>-100.76470503448218</x:v>
      </x:c>
      <x:c r="AF33" t="n">
        <x:f>(AF31-AF32)-(AE31-AE32)</x:f>
        <x:v>-105.64059554437699</x:v>
      </x:c>
      <x:c r="AG33" t="n">
        <x:f>(AG31-AG32)-(AF31-AF32)</x:f>
        <x:v>-110.51321460699546</x:v>
      </x:c>
      <x:c r="AH33" t="n">
        <x:f>(AH31-AH32)-(AG31-AG32)</x:f>
        <x:v>-115.38271030933538</x:v>
      </x:c>
      <x:c r="AI33" t="n">
        <x:f>(AI31-AI32)-(AH31-AH32)</x:f>
        <x:v>-120.24923018747359</x:v>
      </x:c>
      <x:c r="AJ33" t="n">
        <x:f>(AJ31-AJ32)-(AI31-AI32)</x:f>
        <x:v>-125.112921232183</x:v>
      </x:c>
      <x:c r="AK33" t="n">
        <x:f>(AK31-AK32)-(AJ31-AJ32)</x:f>
        <x:v>-129.9739298942295</x:v>
      </x:c>
    </x:row>
    <x:row r="34">
      <x:c r="A34" s="20" t="str">
        <x:v>Operating cash flow</x:v>
      </x:c>
      <x:c r="B34" s="20" t="n">
        <x:f>B29+B25-B33</x:f>
        <x:v>-141273.49088</x:v>
      </x:c>
      <x:c r="C34" s="20" t="n">
        <x:f>C29+C25-C33</x:f>
        <x:v>-151337.68100028252</x:v>
      </x:c>
      <x:c r="D34" s="20" t="n">
        <x:f>D29+D25-D33</x:f>
        <x:v>-155385.5843556397</x:v>
      </x:c>
      <x:c r="E34" s="20" t="n">
        <x:f>E29+E25-E33</x:f>
        <x:v>-159488.37737172976</x:v>
      </x:c>
      <x:c r="F34" s="20" t="n">
        <x:f>F29+F25-F33</x:f>
        <x:v>-163646.06412109634</x:v>
      </x:c>
      <x:c r="G34" s="20" t="n">
        <x:f>G29+G25-G33</x:f>
        <x:v>-167858.65056199473</x:v>
      </x:c>
      <x:c r="H34" s="20" t="n">
        <x:f>H29+H25-H33</x:f>
        <x:v>-172126.14452977746</x:v>
      </x:c>
      <x:c r="I34" s="20" t="n">
        <x:f>I29+I25-I33</x:f>
        <x:v>-176448.55572837702</x:v>
      </x:c>
      <x:c r="J34" s="20" t="n">
        <x:f>J29+J25-J33</x:f>
        <x:v>-180825.89572188552</x:v>
      </x:c>
      <x:c r="K34" s="20" t="n">
        <x:f>K29+K25-K33</x:f>
        <x:v>-185258.17792623013</x:v>
      </x:c>
      <x:c r="L34" s="20" t="n">
        <x:f>L29+L25-L33</x:f>
        <x:v>-189745.41760094318</x:v>
      </x:c>
      <x:c r="M34" s="20" t="n">
        <x:f>M29+M25-M33</x:f>
        <x:v>-194287.63184102756</x:v>
      </x:c>
      <x:c r="N34" s="20" t="n">
        <x:f>N29+N25-N33</x:f>
        <x:v>-196163.1006586085</x:v>
      </x:c>
      <x:c r="O34" s="20" t="n">
        <x:f>O29+O25-O33</x:f>
        <x:v>-199733.57355368917</x:v>
      </x:c>
      <x:c r="P34" s="20" t="n">
        <x:f>P29+P25-P33</x:f>
        <x:v>-203746.21814451524</x:v>
      </x:c>
      <x:c r="Q34" s="20" t="n">
        <x:f>Q29+Q25-Q33</x:f>
        <x:v>-207811.74977549264</x:v>
      </x:c>
      <x:c r="R34" s="20" t="n">
        <x:f>R29+R25-R33</x:f>
        <x:v>-211930.21994462135</x:v>
      </x:c>
      <x:c r="S34" s="20" t="n">
        <x:f>S29+S25-S33</x:f>
        <x:v>-216101.6815021226</x:v>
      </x:c>
      <x:c r="T34" s="20" t="n">
        <x:f>T29+T25-T33</x:f>
        <x:v>-220326.18864749387</x:v>
      </x:c>
      <x:c r="U34" s="20" t="n">
        <x:f>U29+U25-U33</x:f>
        <x:v>-224603.79692660394</x:v>
      </x:c>
      <x:c r="V34" s="20" t="n">
        <x:f>V29+V25-V33</x:f>
        <x:v>-228934.56322883337</x:v>
      </x:c>
      <x:c r="W34" s="20" t="n">
        <x:f>W29+W25-W33</x:f>
        <x:v>-233318.5457842545</x:v>
      </x:c>
      <x:c r="X34" s="20" t="n">
        <x:f>X29+X25-X33</x:f>
        <x:v>-237755.80416085315</x:v>
      </x:c>
      <x:c r="Y34" s="20" t="n">
        <x:f>Y29+Y25-Y33</x:f>
        <x:v>-242246.39926179376</x:v>
      </x:c>
      <x:c r="Z34" s="20" t="n">
        <x:f>Z29+Z25-Z33</x:f>
        <x:v>-246790.39332272328</x:v>
      </x:c>
      <x:c r="AA34" s="20" t="n">
        <x:f>AA29+AA25-AA33</x:f>
        <x:v>-251387.84990911884</x:v>
      </x:c>
      <x:c r="AB34" s="20" t="n">
        <x:f>AB29+AB25-AB33</x:f>
        <x:v>-256038.83391367417</x:v>
      </x:c>
      <x:c r="AC34" s="20" t="n">
        <x:f>AC29+AC25-AC33</x:f>
        <x:v>-260743.41155372802</x:v>
      </x:c>
      <x:c r="AD34" s="20" t="n">
        <x:f>AD29+AD25-AD33</x:f>
        <x:v>-265501.6503687319</x:v>
      </x:c>
      <x:c r="AE34" s="20" t="n">
        <x:f>AE29+AE25-AE33</x:f>
        <x:v>-270313.61921775964</x:v>
      </x:c>
      <x:c r="AF34" s="20" t="n">
        <x:f>AF29+AF25-AF33</x:f>
        <x:v>-275179.3882770564</x:v>
      </x:c>
      <x:c r="AG34" s="20" t="n">
        <x:f>AG29+AG25-AG33</x:f>
        <x:v>-280099.029037626</x:v>
      </x:c>
      <x:c r="AH34" s="20" t="n">
        <x:f>AH29+AH25-AH33</x:f>
        <x:v>-285072.61430286116</x:v>
      </x:c>
      <x:c r="AI34" s="20" t="n">
        <x:f>AI29+AI25-AI33</x:f>
        <x:v>-290100.2181862104</x:v>
      </x:c>
      <x:c r="AJ34" s="20" t="n">
        <x:f>AJ29+AJ25-AJ33</x:f>
        <x:v>-295181.91610888526</x:v>
      </x:c>
      <x:c r="AK34" s="20" t="n">
        <x:f>AK29+AK25-AK33</x:f>
        <x:v>-300317.78479760716</x:v>
      </x:c>
    </x:row>
    <x:row r="35">
      <x:c r="A35" t="str">
        <x:v>Debt repayment</x:v>
      </x:c>
      <x:c r="B35" t="n">
        <x:f>MIN(Assumptions!$B$27,Assumptions!$B$26)</x:f>
        <x:v>6500</x:v>
      </x:c>
      <x:c r="C35" t="n">
        <x:f>MIN(Assumptions!$B$27,C36+Assumptions!$B$27)</x:f>
        <x:v>6500</x:v>
      </x:c>
      <x:c r="D35" t="n">
        <x:f>MIN(Assumptions!$B$27,D36+Assumptions!$B$27)</x:f>
        <x:v>6500</x:v>
      </x:c>
      <x:c r="E35" t="n">
        <x:f>MIN(Assumptions!$B$27,E36+Assumptions!$B$27)</x:f>
        <x:v>6500</x:v>
      </x:c>
      <x:c r="F35" t="n">
        <x:f>MIN(Assumptions!$B$27,F36+Assumptions!$B$27)</x:f>
        <x:v>6500</x:v>
      </x:c>
      <x:c r="G35" t="n">
        <x:f>MIN(Assumptions!$B$27,G36+Assumptions!$B$27)</x:f>
        <x:v>6500</x:v>
      </x:c>
      <x:c r="H35" t="n">
        <x:f>MIN(Assumptions!$B$27,H36+Assumptions!$B$27)</x:f>
        <x:v>6500</x:v>
      </x:c>
      <x:c r="I35" t="n">
        <x:f>MIN(Assumptions!$B$27,I36+Assumptions!$B$27)</x:f>
        <x:v>6500</x:v>
      </x:c>
      <x:c r="J35" t="n">
        <x:f>MIN(Assumptions!$B$27,J36+Assumptions!$B$27)</x:f>
        <x:v>6500</x:v>
      </x:c>
      <x:c r="K35" t="n">
        <x:f>MIN(Assumptions!$B$27,K36+Assumptions!$B$27)</x:f>
        <x:v>6500</x:v>
      </x:c>
      <x:c r="L35" t="n">
        <x:f>MIN(Assumptions!$B$27,L36+Assumptions!$B$27)</x:f>
        <x:v>6500</x:v>
      </x:c>
      <x:c r="M35" t="n">
        <x:f>MIN(Assumptions!$B$27,M36+Assumptions!$B$27)</x:f>
        <x:v>6500</x:v>
      </x:c>
      <x:c r="N35" t="n">
        <x:f>MIN(Assumptions!$B$27,N36+Assumptions!$B$27)</x:f>
        <x:v>6500</x:v>
      </x:c>
      <x:c r="O35" t="n">
        <x:f>MIN(Assumptions!$B$27,O36+Assumptions!$B$27)</x:f>
        <x:v>6500</x:v>
      </x:c>
      <x:c r="P35" t="n">
        <x:f>MIN(Assumptions!$B$27,P36+Assumptions!$B$27)</x:f>
        <x:v>6500</x:v>
      </x:c>
      <x:c r="Q35" t="n">
        <x:f>MIN(Assumptions!$B$27,Q36+Assumptions!$B$27)</x:f>
        <x:v>6500</x:v>
      </x:c>
      <x:c r="R35" t="n">
        <x:f>MIN(Assumptions!$B$27,R36+Assumptions!$B$27)</x:f>
        <x:v>6500</x:v>
      </x:c>
      <x:c r="S35" t="n">
        <x:f>MIN(Assumptions!$B$27,S36+Assumptions!$B$27)</x:f>
        <x:v>6500</x:v>
      </x:c>
      <x:c r="T35" t="n">
        <x:f>MIN(Assumptions!$B$27,T36+Assumptions!$B$27)</x:f>
        <x:v>6500</x:v>
      </x:c>
      <x:c r="U35" t="n">
        <x:f>MIN(Assumptions!$B$27,U36+Assumptions!$B$27)</x:f>
        <x:v>6500</x:v>
      </x:c>
      <x:c r="V35" t="n">
        <x:f>MIN(Assumptions!$B$27,V36+Assumptions!$B$27)</x:f>
        <x:v>6500</x:v>
      </x:c>
      <x:c r="W35" t="n">
        <x:f>MIN(Assumptions!$B$27,W36+Assumptions!$B$27)</x:f>
        <x:v>6500</x:v>
      </x:c>
      <x:c r="X35" t="n">
        <x:f>MIN(Assumptions!$B$27,X36+Assumptions!$B$27)</x:f>
        <x:v>6500</x:v>
      </x:c>
      <x:c r="Y35" t="n">
        <x:f>MIN(Assumptions!$B$27,Y36+Assumptions!$B$27)</x:f>
        <x:v>6500</x:v>
      </x:c>
      <x:c r="Z35" t="n">
        <x:f>MIN(Assumptions!$B$27,Z36+Assumptions!$B$27)</x:f>
        <x:v>6500</x:v>
      </x:c>
      <x:c r="AA35" t="n">
        <x:f>MIN(Assumptions!$B$27,AA36+Assumptions!$B$27)</x:f>
        <x:v>6500</x:v>
      </x:c>
      <x:c r="AB35" t="n">
        <x:f>MIN(Assumptions!$B$27,AB36+Assumptions!$B$27)</x:f>
        <x:v>6500</x:v>
      </x:c>
      <x:c r="AC35" t="n">
        <x:f>MIN(Assumptions!$B$27,AC36+Assumptions!$B$27)</x:f>
        <x:v>6500</x:v>
      </x:c>
      <x:c r="AD35" t="n">
        <x:f>MIN(Assumptions!$B$27,AD36+Assumptions!$B$27)</x:f>
        <x:v>6500</x:v>
      </x:c>
      <x:c r="AE35" t="n">
        <x:f>MIN(Assumptions!$B$27,AE36+Assumptions!$B$27)</x:f>
        <x:v>6500</x:v>
      </x:c>
      <x:c r="AF35" t="n">
        <x:f>MIN(Assumptions!$B$27,AF36+Assumptions!$B$27)</x:f>
        <x:v>6500</x:v>
      </x:c>
      <x:c r="AG35" t="n">
        <x:f>MIN(Assumptions!$B$27,AG36+Assumptions!$B$27)</x:f>
        <x:v>6500</x:v>
      </x:c>
      <x:c r="AH35" t="n">
        <x:f>MIN(Assumptions!$B$27,AH36+Assumptions!$B$27)</x:f>
        <x:v>6500</x:v>
      </x:c>
      <x:c r="AI35" t="n">
        <x:f>MIN(Assumptions!$B$27,AI36+Assumptions!$B$27)</x:f>
        <x:v>6500</x:v>
      </x:c>
      <x:c r="AJ35" t="n">
        <x:f>MIN(Assumptions!$B$27,AJ36+Assumptions!$B$27)</x:f>
        <x:v>6500</x:v>
      </x:c>
      <x:c r="AK35" t="n">
        <x:f>MIN(Assumptions!$B$27,AK36+Assumptions!$B$27)</x:f>
        <x:v>6500</x:v>
      </x:c>
    </x:row>
    <x:row r="36">
      <x:c r="A36" t="str">
        <x:v>Closing debt</x:v>
      </x:c>
      <x:c r="B36" t="n">
        <x:f>Assumptions!$B$26-B35</x:f>
        <x:v>443500</x:v>
      </x:c>
      <x:c r="C36">
        <x:f>B36-C35</x:f>
      </x:c>
      <x:c r="D36">
        <x:f>C36-D35</x:f>
      </x:c>
      <x:c r="E36">
        <x:f>D36-E35</x:f>
      </x:c>
      <x:c r="F36">
        <x:f>E36-F35</x:f>
      </x:c>
      <x:c r="G36">
        <x:f>F36-G35</x:f>
      </x:c>
      <x:c r="H36">
        <x:f>G36-H35</x:f>
      </x:c>
      <x:c r="I36">
        <x:f>H36-I35</x:f>
      </x:c>
      <x:c r="J36">
        <x:f>I36-J35</x:f>
      </x:c>
      <x:c r="K36">
        <x:f>J36-K35</x:f>
      </x:c>
      <x:c r="L36">
        <x:f>K36-L35</x:f>
      </x:c>
      <x:c r="M36">
        <x:f>L36-M35</x:f>
      </x:c>
      <x:c r="N36">
        <x:f>M36-N35</x:f>
      </x:c>
      <x:c r="O36">
        <x:f>N36-O35</x:f>
      </x:c>
      <x:c r="P36">
        <x:f>O36-P35</x:f>
      </x:c>
      <x:c r="Q36">
        <x:f>P36-Q35</x:f>
      </x:c>
      <x:c r="R36">
        <x:f>Q36-R35</x:f>
      </x:c>
      <x:c r="S36">
        <x:f>R36-S35</x:f>
      </x:c>
      <x:c r="T36">
        <x:f>S36-T35</x:f>
      </x:c>
      <x:c r="U36">
        <x:f>T36-U35</x:f>
      </x:c>
      <x:c r="V36">
        <x:f>U36-V35</x:f>
      </x:c>
      <x:c r="W36">
        <x:f>V36-W35</x:f>
      </x:c>
      <x:c r="X36">
        <x:f>W36-X35</x:f>
      </x:c>
      <x:c r="Y36">
        <x:f>X36-Y35</x:f>
      </x:c>
      <x:c r="Z36">
        <x:f>Y36-Z35</x:f>
      </x:c>
      <x:c r="AA36">
        <x:f>Z36-AA35</x:f>
      </x:c>
      <x:c r="AB36">
        <x:f>AA36-AB35</x:f>
      </x:c>
      <x:c r="AC36">
        <x:f>AB36-AC35</x:f>
      </x:c>
      <x:c r="AD36">
        <x:f>AC36-AD35</x:f>
      </x:c>
      <x:c r="AE36">
        <x:f>AD36-AE35</x:f>
      </x:c>
      <x:c r="AF36">
        <x:f>AE36-AF35</x:f>
      </x:c>
      <x:c r="AG36">
        <x:f>AF36-AG35</x:f>
      </x:c>
      <x:c r="AH36">
        <x:f>AG36-AH35</x:f>
      </x:c>
      <x:c r="AI36">
        <x:f>AH36-AI35</x:f>
      </x:c>
      <x:c r="AJ36">
        <x:f>AI36-AJ35</x:f>
      </x:c>
      <x:c r="AK36">
        <x:f>AJ36-AK35</x:f>
      </x:c>
    </x:row>
    <x:row r="37">
      <x:c r="A37" s="20" t="str">
        <x:v>Free cash flow after debt</x:v>
      </x:c>
      <x:c r="B37" s="20" t="n">
        <x:f>B34-B30-B35</x:f>
        <x:v>-165773.49088</x:v>
      </x:c>
      <x:c r="C37" s="20" t="n">
        <x:f>C34-C30-C35</x:f>
        <x:v>-175837.68100028252</x:v>
      </x:c>
      <x:c r="D37" s="20" t="n">
        <x:f>D34-D30-D35</x:f>
        <x:v>-179885.5843556397</x:v>
      </x:c>
      <x:c r="E37" s="20" t="n">
        <x:f>E34-E30-E35</x:f>
        <x:v>-183988.37737172976</x:v>
      </x:c>
      <x:c r="F37" s="20" t="n">
        <x:f>F34-F30-F35</x:f>
        <x:v>-188146.06412109634</x:v>
      </x:c>
      <x:c r="G37" s="20" t="n">
        <x:f>G34-G30-G35</x:f>
        <x:v>-192358.65056199473</x:v>
      </x:c>
      <x:c r="H37" s="20" t="n">
        <x:f>H34-H30-H35</x:f>
        <x:v>-196626.14452977746</x:v>
      </x:c>
      <x:c r="I37" s="20" t="n">
        <x:f>I34-I30-I35</x:f>
        <x:v>-200948.55572837702</x:v>
      </x:c>
      <x:c r="J37" s="20" t="n">
        <x:f>J34-J30-J35</x:f>
        <x:v>-205325.89572188552</x:v>
      </x:c>
      <x:c r="K37" s="20" t="n">
        <x:f>K34-K30-K35</x:f>
        <x:v>-209758.17792623013</x:v>
      </x:c>
      <x:c r="L37" s="20" t="n">
        <x:f>L34-L30-L35</x:f>
        <x:v>-214245.41760094318</x:v>
      </x:c>
      <x:c r="M37" s="20" t="n">
        <x:f>M34-M30-M35</x:f>
        <x:v>-218787.63184102756</x:v>
      </x:c>
      <x:c r="N37" s="20" t="n">
        <x:f>N34-N30-N35</x:f>
        <x:v>-220663.1006586085</x:v>
      </x:c>
      <x:c r="O37" s="20" t="n">
        <x:f>O34-O30-O35</x:f>
        <x:v>-224233.57355368917</x:v>
      </x:c>
      <x:c r="P37" s="20" t="n">
        <x:f>P34-P30-P35</x:f>
        <x:v>-228246.21814451524</x:v>
      </x:c>
      <x:c r="Q37" s="20" t="n">
        <x:f>Q34-Q30-Q35</x:f>
        <x:v>-232311.74977549264</x:v>
      </x:c>
      <x:c r="R37" s="20" t="n">
        <x:f>R34-R30-R35</x:f>
        <x:v>-236430.21994462135</x:v>
      </x:c>
      <x:c r="S37" s="20" t="n">
        <x:f>S34-S30-S35</x:f>
        <x:v>-240601.6815021226</x:v>
      </x:c>
      <x:c r="T37" s="20" t="n">
        <x:f>T34-T30-T35</x:f>
        <x:v>-244826.18864749387</x:v>
      </x:c>
      <x:c r="U37" s="20" t="n">
        <x:f>U34-U30-U35</x:f>
        <x:v>-249103.79692660394</x:v>
      </x:c>
      <x:c r="V37" s="20" t="n">
        <x:f>V34-V30-V35</x:f>
        <x:v>-253434.56322883337</x:v>
      </x:c>
      <x:c r="W37" s="20" t="n">
        <x:f>W34-W30-W35</x:f>
        <x:v>-257818.5457842545</x:v>
      </x:c>
      <x:c r="X37" s="20" t="n">
        <x:f>X34-X30-X35</x:f>
        <x:v>-262255.80416085315</x:v>
      </x:c>
      <x:c r="Y37" s="20" t="n">
        <x:f>Y34-Y30-Y35</x:f>
        <x:v>-266746.39926179376</x:v>
      </x:c>
      <x:c r="Z37" s="20" t="n">
        <x:f>Z34-Z30-Z35</x:f>
        <x:v>-271290.3933227233</x:v>
      </x:c>
      <x:c r="AA37" s="20" t="n">
        <x:f>AA34-AA30-AA35</x:f>
        <x:v>-275887.84990911884</x:v>
      </x:c>
      <x:c r="AB37" s="20" t="n">
        <x:f>AB34-AB30-AB35</x:f>
        <x:v>-280538.83391367417</x:v>
      </x:c>
      <x:c r="AC37" s="20" t="n">
        <x:f>AC34-AC30-AC35</x:f>
        <x:v>-285243.41155372804</x:v>
      </x:c>
      <x:c r="AD37" s="20" t="n">
        <x:f>AD34-AD30-AD35</x:f>
        <x:v>-290001.6503687319</x:v>
      </x:c>
      <x:c r="AE37" s="20" t="n">
        <x:f>AE34-AE30-AE35</x:f>
        <x:v>-294813.61921775964</x:v>
      </x:c>
      <x:c r="AF37" s="20" t="n">
        <x:f>AF34-AF30-AF35</x:f>
        <x:v>-299679.3882770564</x:v>
      </x:c>
      <x:c r="AG37" s="20" t="n">
        <x:f>AG34-AG30-AG35</x:f>
        <x:v>-304599.029037626</x:v>
      </x:c>
      <x:c r="AH37" s="20" t="n">
        <x:f>AH34-AH30-AH35</x:f>
        <x:v>-309572.61430286116</x:v>
      </x:c>
      <x:c r="AI37" s="20" t="n">
        <x:f>AI34-AI30-AI35</x:f>
        <x:v>-314600.2181862104</x:v>
      </x:c>
      <x:c r="AJ37" s="20" t="n">
        <x:f>AJ34-AJ30-AJ35</x:f>
        <x:v>-319681.91610888526</x:v>
      </x:c>
      <x:c r="AK37" s="20" t="n">
        <x:f>AK34-AK30-AK35</x:f>
        <x:v>-324817.78479760716</x:v>
      </x:c>
    </x:row>
    <x:row r="38">
      <x:c r="A38" t="str">
        <x:v>Opening cash</x:v>
      </x:c>
      <x:c r="B38" t="n">
        <x:f>Assumptions!$B$19</x:f>
        <x:v>2400000</x:v>
      </x:c>
      <x:c r="C38" t="n">
        <x:f>B39</x:f>
        <x:v>2234226.50912</x:v>
      </x:c>
      <x:c r="D38" t="n">
        <x:f>C39</x:f>
        <x:v>2058388.8281197175</x:v>
      </x:c>
      <x:c r="E38" t="n">
        <x:f>D39</x:f>
        <x:v>1878503.2437640778</x:v>
      </x:c>
      <x:c r="F38" t="n">
        <x:f>E39</x:f>
        <x:v>1694514.866392348</x:v>
      </x:c>
      <x:c r="G38" t="n">
        <x:f>F39</x:f>
        <x:v>1506368.8022712516</x:v>
      </x:c>
      <x:c r="H38" t="n">
        <x:f>G39</x:f>
        <x:v>1314010.151709257</x:v>
      </x:c>
      <x:c r="I38" t="n">
        <x:f>H39</x:f>
        <x:v>1117384.0071794796</x:v>
      </x:c>
      <x:c r="J38" t="n">
        <x:f>I39</x:f>
        <x:v>916435.4514511025</x:v>
      </x:c>
      <x:c r="K38" t="n">
        <x:f>J39</x:f>
        <x:v>711109.555729217</x:v>
      </x:c>
      <x:c r="L38" t="n">
        <x:f>K39</x:f>
        <x:v>501351.3778029869</x:v>
      </x:c>
      <x:c r="M38" t="n">
        <x:f>L39</x:f>
        <x:v>287105.9602020437</x:v>
      </x:c>
      <x:c r="N38" t="n">
        <x:f>M39</x:f>
        <x:v>68318.32836101615</x:v>
      </x:c>
      <x:c r="O38" t="n">
        <x:f>N39</x:f>
        <x:v>-152344.77229759237</x:v>
      </x:c>
      <x:c r="P38" t="n">
        <x:f>O39</x:f>
        <x:v>-376578.34585128154</x:v>
      </x:c>
      <x:c r="Q38" t="n">
        <x:f>P39</x:f>
        <x:v>-604824.5639957967</x:v>
      </x:c>
      <x:c r="R38" t="n">
        <x:f>Q39</x:f>
        <x:v>-837136.3137712893</x:v>
      </x:c>
      <x:c r="S38" t="n">
        <x:f>R39</x:f>
        <x:v>-1073566.5337159107</x:v>
      </x:c>
      <x:c r="T38" t="n">
        <x:f>S39</x:f>
        <x:v>-1314168.2152180334</x:v>
      </x:c>
      <x:c r="U38" t="n">
        <x:f>T39</x:f>
        <x:v>-1558994.4038655274</x:v>
      </x:c>
      <x:c r="V38" t="n">
        <x:f>U39</x:f>
        <x:v>-1808098.2007921312</x:v>
      </x:c>
      <x:c r="W38" t="n">
        <x:f>V39</x:f>
        <x:v>-2061532.7640209645</x:v>
      </x:c>
      <x:c r="X38" t="n">
        <x:f>W39</x:f>
        <x:v>-2319351.309805219</x:v>
      </x:c>
      <x:c r="Y38" t="n">
        <x:f>X39</x:f>
        <x:v>-2581607.113966072</x:v>
      </x:c>
      <x:c r="Z38" t="n">
        <x:f>Y39</x:f>
        <x:v>-2848353.5132278656</x:v>
      </x:c>
      <x:c r="AA38" t="n">
        <x:f>Z39</x:f>
        <x:v>-3119643.906550589</x:v>
      </x:c>
      <x:c r="AB38" t="n">
        <x:f>AA39</x:f>
        <x:v>-3395531.756459708</x:v>
      </x:c>
      <x:c r="AC38" t="n">
        <x:f>AB39</x:f>
        <x:v>-3676070.590373382</x:v>
      </x:c>
      <x:c r="AD38" t="n">
        <x:f>AC39</x:f>
        <x:v>-3961314.00192711</x:v>
      </x:c>
      <x:c r="AE38" t="n">
        <x:f>AD39</x:f>
        <x:v>-4251315.652295842</x:v>
      </x:c>
      <x:c r="AF38" t="n">
        <x:f>AE39</x:f>
        <x:v>-4546129.271513602</x:v>
      </x:c>
      <x:c r="AG38" t="n">
        <x:f>AF39</x:f>
        <x:v>-4845808.659790658</x:v>
      </x:c>
      <x:c r="AH38" t="n">
        <x:f>AG39</x:f>
        <x:v>-5150407.688828284</x:v>
      </x:c>
      <x:c r="AI38" t="n">
        <x:f>AH39</x:f>
        <x:v>-5459980.303131145</x:v>
      </x:c>
      <x:c r="AJ38" t="n">
        <x:f>AI39</x:f>
        <x:v>-5774580.521317355</x:v>
      </x:c>
      <x:c r="AK38" t="n">
        <x:f>AJ39</x:f>
        <x:v>-6094262.43742624</x:v>
      </x:c>
    </x:row>
    <x:row r="39">
      <x:c r="A39" s="20" t="str">
        <x:v>Closing cash</x:v>
      </x:c>
      <x:c r="B39" s="20" t="n">
        <x:f>B38+B37</x:f>
        <x:v>2234226.50912</x:v>
      </x:c>
      <x:c r="C39" s="20" t="n">
        <x:f>C38+C37</x:f>
        <x:v>2058388.8281197175</x:v>
      </x:c>
      <x:c r="D39" s="20" t="n">
        <x:f>D38+D37</x:f>
        <x:v>1878503.2437640778</x:v>
      </x:c>
      <x:c r="E39" s="20" t="n">
        <x:f>E38+E37</x:f>
        <x:v>1694514.866392348</x:v>
      </x:c>
      <x:c r="F39" s="20" t="n">
        <x:f>F38+F37</x:f>
        <x:v>1506368.8022712516</x:v>
      </x:c>
      <x:c r="G39" s="20" t="n">
        <x:f>G38+G37</x:f>
        <x:v>1314010.151709257</x:v>
      </x:c>
      <x:c r="H39" s="20" t="n">
        <x:f>H38+H37</x:f>
        <x:v>1117384.0071794796</x:v>
      </x:c>
      <x:c r="I39" s="20" t="n">
        <x:f>I38+I37</x:f>
        <x:v>916435.4514511025</x:v>
      </x:c>
      <x:c r="J39" s="20" t="n">
        <x:f>J38+J37</x:f>
        <x:v>711109.555729217</x:v>
      </x:c>
      <x:c r="K39" s="20" t="n">
        <x:f>K38+K37</x:f>
        <x:v>501351.3778029869</x:v>
      </x:c>
      <x:c r="L39" s="20" t="n">
        <x:f>L38+L37</x:f>
        <x:v>287105.9602020437</x:v>
      </x:c>
      <x:c r="M39" s="20" t="n">
        <x:f>M38+M37</x:f>
        <x:v>68318.32836101615</x:v>
      </x:c>
      <x:c r="N39" s="20" t="n">
        <x:f>N38+N37</x:f>
        <x:v>-152344.77229759237</x:v>
      </x:c>
      <x:c r="O39" s="20" t="n">
        <x:f>O38+O37</x:f>
        <x:v>-376578.34585128154</x:v>
      </x:c>
      <x:c r="P39" s="20" t="n">
        <x:f>P38+P37</x:f>
        <x:v>-604824.5639957967</x:v>
      </x:c>
      <x:c r="Q39" s="20" t="n">
        <x:f>Q38+Q37</x:f>
        <x:v>-837136.3137712893</x:v>
      </x:c>
      <x:c r="R39" s="20" t="n">
        <x:f>R38+R37</x:f>
        <x:v>-1073566.5337159107</x:v>
      </x:c>
      <x:c r="S39" s="20" t="n">
        <x:f>S38+S37</x:f>
        <x:v>-1314168.2152180334</x:v>
      </x:c>
      <x:c r="T39" s="20" t="n">
        <x:f>T38+T37</x:f>
        <x:v>-1558994.4038655274</x:v>
      </x:c>
      <x:c r="U39" s="20" t="n">
        <x:f>U38+U37</x:f>
        <x:v>-1808098.2007921312</x:v>
      </x:c>
      <x:c r="V39" s="20" t="n">
        <x:f>V38+V37</x:f>
        <x:v>-2061532.7640209645</x:v>
      </x:c>
      <x:c r="W39" s="20" t="n">
        <x:f>W38+W37</x:f>
        <x:v>-2319351.309805219</x:v>
      </x:c>
      <x:c r="X39" s="20" t="n">
        <x:f>X38+X37</x:f>
        <x:v>-2581607.113966072</x:v>
      </x:c>
      <x:c r="Y39" s="20" t="n">
        <x:f>Y38+Y37</x:f>
        <x:v>-2848353.5132278656</x:v>
      </x:c>
      <x:c r="Z39" s="20" t="n">
        <x:f>Z38+Z37</x:f>
        <x:v>-3119643.906550589</x:v>
      </x:c>
      <x:c r="AA39" s="20" t="n">
        <x:f>AA38+AA37</x:f>
        <x:v>-3395531.756459708</x:v>
      </x:c>
      <x:c r="AB39" s="20" t="n">
        <x:f>AB38+AB37</x:f>
        <x:v>-3676070.590373382</x:v>
      </x:c>
      <x:c r="AC39" s="20" t="n">
        <x:f>AC38+AC37</x:f>
        <x:v>-3961314.00192711</x:v>
      </x:c>
      <x:c r="AD39" s="20" t="n">
        <x:f>AD38+AD37</x:f>
        <x:v>-4251315.652295842</x:v>
      </x:c>
      <x:c r="AE39" s="20" t="n">
        <x:f>AE38+AE37</x:f>
        <x:v>-4546129.271513602</x:v>
      </x:c>
      <x:c r="AF39" s="20" t="n">
        <x:f>AF38+AF37</x:f>
        <x:v>-4845808.659790658</x:v>
      </x:c>
      <x:c r="AG39" s="20" t="n">
        <x:f>AG38+AG37</x:f>
        <x:v>-5150407.688828284</x:v>
      </x:c>
      <x:c r="AH39" s="20" t="n">
        <x:f>AH38+AH37</x:f>
        <x:v>-5459980.303131145</x:v>
      </x:c>
      <x:c r="AI39" s="20" t="n">
        <x:f>AI38+AI37</x:f>
        <x:v>-5774580.521317355</x:v>
      </x:c>
      <x:c r="AJ39" s="20" t="n">
        <x:f>AJ38+AJ37</x:f>
        <x:v>-6094262.43742624</x:v>
      </x:c>
      <x:c r="AK39" s="20" t="n">
        <x:f>AK38+AK37</x:f>
        <x:v>-6419080.222223847</x:v>
      </x:c>
    </x:row>
    <x:row r="40">
      <x:c r="A40" s="20" t="str">
        <x:v>ARR run-rate</x:v>
      </x:c>
      <x:c r="B40" s="20" t="n">
        <x:f>B41*12</x:f>
        <x:v>3409152</x:v>
      </x:c>
      <x:c r="C40" s="20" t="n">
        <x:f>C41*12</x:f>
        <x:v>3565617.164880001</x:v>
      </x:c>
      <x:c r="D40" s="20" t="n">
        <x:f>D41*12</x:f>
        <x:v>3721452.657651559</x:v>
      </x:c>
      <x:c r="E40" s="20" t="n">
        <x:f>E41*12</x:f>
        <x:v>3876666.246467646</x:v>
      </x:c>
      <x:c r="F40" s="20" t="n">
        <x:f>F41*12</x:f>
        <x:v>4031265.6436478994</x:v>
      </x:c>
      <x:c r="G40" s="20" t="n">
        <x:f>G41*12</x:f>
        <x:v>4185258.506179642</x:v>
      </x:c>
      <x:c r="H40" s="20" t="n">
        <x:f>H41*12</x:f>
        <x:v>4338652.436214836</x:v>
      </x:c>
      <x:c r="I40" s="20" t="n">
        <x:f>I41*12</x:f>
        <x:v>4491454.981563004</x:v>
      </x:c>
      <x:c r="J40" s="20" t="n">
        <x:f>J41*12</x:f>
        <x:v>4643673.636180137</x:v>
      </x:c>
      <x:c r="K40" s="20" t="n">
        <x:f>K41*12</x:f>
        <x:v>4795315.84065366</x:v>
      </x:c>
      <x:c r="L40" s="20" t="n">
        <x:f>L41*12</x:f>
        <x:v>4946388.982683441</x:v>
      </x:c>
      <x:c r="M40" s="20" t="n">
        <x:f>M41*12</x:f>
        <x:v>5096900.397558911</x:v>
      </x:c>
      <x:c r="N40" s="20" t="n">
        <x:f>N41*12</x:f>
        <x:v>5273792.254434894</x:v>
      </x:c>
      <x:c r="O40" s="20" t="n">
        <x:f>O41*12</x:f>
        <x:v>5450248.568540231</x:v>
      </x:c>
      <x:c r="P40" s="20" t="n">
        <x:f>P41*12</x:f>
        <x:v>5626275.190561812</x:v>
      </x:c>
      <x:c r="Q40" s="20" t="n">
        <x:f>Q41*12</x:f>
        <x:v>5801877.941543155</x:v>
      </x:c>
      <x:c r="R40" s="20" t="n">
        <x:f>R41*12</x:f>
        <x:v>5977062.6131265145</x:v>
      </x:c>
      <x:c r="S40" s="20" t="n">
        <x:f>S41*12</x:f>
        <x:v>6151834.967793457</x:v>
      </x:c>
      <x:c r="T40" s="20" t="n">
        <x:f>T41*12</x:f>
        <x:v>6326200.739103944</x:v>
      </x:c>
      <x:c r="U40" s="20" t="n">
        <x:f>U41*12</x:f>
        <x:v>6500165.63193391</x:v>
      </x:c>
      <x:c r="V40" s="20" t="n">
        <x:f>V41*12</x:f>
        <x:v>6673735.322711347</x:v>
      </x:c>
      <x:c r="W40" s="20" t="n">
        <x:f>W41*12</x:f>
        <x:v>6846915.459650923</x:v>
      </x:c>
      <x:c r="X40" s="20" t="n">
        <x:f>X41*12</x:f>
        <x:v>7019711.662987126</x:v>
      </x:c>
      <x:c r="Y40" s="20" t="n">
        <x:f>Y41*12</x:f>
        <x:v>7192129.525205964</x:v>
      </x:c>
      <x:c r="Z40" s="20" t="n">
        <x:f>Z41*12</x:f>
        <x:v>7364174.611275209</x:v>
      </x:c>
      <x:c r="AA40" s="20" t="n">
        <x:f>AA41*12</x:f>
        <x:v>7535852.4588732105</x:v>
      </x:c>
      <x:c r="AB40" s="20" t="n">
        <x:f>AB41*12</x:f>
        <x:v>7707168.578616286</x:v>
      </x:c>
      <x:c r="AC40" s="20" t="n">
        <x:f>AC41*12</x:f>
        <x:v>7878128.454284703</x:v>
      </x:c>
      <x:c r="AD40" s="20" t="n">
        <x:f>AD41*12</x:f>
        <x:v>8048737.543047251</x:v>
      </x:c>
      <x:c r="AE40" s="20" t="n">
        <x:f>AE41*12</x:f>
        <x:v>8219001.275684419</x:v>
      </x:c>
      <x:c r="AF40" s="20" t="n">
        <x:f>AF41*12</x:f>
        <x:v>8388925.05681019</x:v>
      </x:c>
      <x:c r="AG40" s="20" t="n">
        <x:f>AG41*12</x:f>
        <x:v>8558514.265092483</x:v>
      </x:c>
      <x:c r="AH40" s="20" t="n">
        <x:f>AH41*12</x:f>
        <x:v>8727774.253472196</x:v>
      </x:c>
      <x:c r="AI40" s="20" t="n">
        <x:f>AI41*12</x:f>
        <x:v>8896710.349380922</x:v>
      </x:c>
      <x:c r="AJ40" s="20" t="n">
        <x:f>AJ41*12</x:f>
        <x:v>9065327.854957322</x:v>
      </x:c>
      <x:c r="AK40" s="20" t="n">
        <x:f>AK41*12</x:f>
        <x:v>9233632.047262147</x:v>
      </x:c>
    </x:row>
    <x:row r="41">
      <x:c r="A41" s="20" t="str">
        <x:v>MRR</x:v>
      </x:c>
      <x:c r="B41" s="20" t="n">
        <x:f>B10*B12</x:f>
        <x:v>284096</x:v>
      </x:c>
      <x:c r="C41" s="20" t="n">
        <x:f>C10*C12</x:f>
        <x:v>297134.7637400001</x:v>
      </x:c>
      <x:c r="D41" s="20" t="n">
        <x:f>D10*D12</x:f>
        <x:v>310121.0548042966</x:v>
      </x:c>
      <x:c r="E41" s="20" t="n">
        <x:f>E10*E12</x:f>
        <x:v>323055.52053897054</x:v>
      </x:c>
      <x:c r="F41" s="20" t="n">
        <x:f>F10*F12</x:f>
        <x:v>335938.80363732495</x:v>
      </x:c>
      <x:c r="G41" s="20" t="n">
        <x:f>G10*G12</x:f>
        <x:v>348771.54218163685</x:v>
      </x:c>
      <x:c r="H41" s="20" t="n">
        <x:f>H10*H12</x:f>
        <x:v>361554.3696845697</x:v>
      </x:c>
      <x:c r="I41" s="20" t="n">
        <x:f>I10*I12</x:f>
        <x:v>374287.9151302503</x:v>
      </x:c>
      <x:c r="J41" s="20" t="n">
        <x:f>J10*J12</x:f>
        <x:v>386972.8030150114</x:v>
      </x:c>
      <x:c r="K41" s="20" t="n">
        <x:f>K10*K12</x:f>
        <x:v>399609.653387805</x:v>
      </x:c>
      <x:c r="L41" s="20" t="n">
        <x:f>L10*L12</x:f>
        <x:v>412199.08189028676</x:v>
      </x:c>
      <x:c r="M41" s="20" t="n">
        <x:f>M10*M12</x:f>
        <x:v>424741.6997965759</x:v>
      </x:c>
      <x:c r="N41" s="20" t="n">
        <x:f>N10*N12</x:f>
        <x:v>439482.68786957447</x:v>
      </x:c>
      <x:c r="O41" s="20" t="n">
        <x:f>O10*O12</x:f>
        <x:v>454187.3807116859</x:v>
      </x:c>
      <x:c r="P41" s="20" t="n">
        <x:f>P10*P12</x:f>
        <x:v>468856.265880151</x:v>
      </x:c>
      <x:c r="Q41" s="20" t="n">
        <x:f>Q10*Q12</x:f>
        <x:v>483489.82846192963</x:v>
      </x:c>
      <x:c r="R41" s="20" t="n">
        <x:f>R10*R12</x:f>
        <x:v>498088.55109387625</x:v>
      </x:c>
      <x:c r="S41" s="20" t="n">
        <x:f>S10*S12</x:f>
        <x:v>512652.9139827881</x:v>
      </x:c>
      <x:c r="T41" s="20" t="n">
        <x:f>T10*T12</x:f>
        <x:v>527183.3949253287</x:v>
      </x:c>
      <x:c r="U41" s="20" t="n">
        <x:f>U10*U12</x:f>
        <x:v>541680.4693278258</x:v>
      </x:c>
      <x:c r="V41" s="20" t="n">
        <x:f>V10*V12</x:f>
        <x:v>556144.6102259456</x:v>
      </x:c>
      <x:c r="W41" s="20" t="n">
        <x:f>W10*W12</x:f>
        <x:v>570576.2883042436</x:v>
      </x:c>
      <x:c r="X41" s="20" t="n">
        <x:f>X10*X12</x:f>
        <x:v>584975.9719155938</x:v>
      </x:c>
      <x:c r="Y41" s="20" t="n">
        <x:f>Y10*Y12</x:f>
        <x:v>599344.127100497</x:v>
      </x:c>
      <x:c r="Z41" s="20" t="n">
        <x:f>Z10*Z12</x:f>
        <x:v>613681.2176062674</x:v>
      </x:c>
      <x:c r="AA41" s="20" t="n">
        <x:f>AA10*AA12</x:f>
        <x:v>627987.7049061009</x:v>
      </x:c>
      <x:c r="AB41" s="20" t="n">
        <x:f>AB10*AB12</x:f>
        <x:v>642264.0482180238</x:v>
      </x:c>
      <x:c r="AC41" s="20" t="n">
        <x:f>AC10*AC12</x:f>
        <x:v>656510.7045237253</x:v>
      </x:c>
      <x:c r="AD41" s="20" t="n">
        <x:f>AD10*AD12</x:f>
        <x:v>670728.128587271</x:v>
      </x:c>
      <x:c r="AE41" s="20" t="n">
        <x:f>AE10*AE12</x:f>
        <x:v>684916.7729737016</x:v>
      </x:c>
      <x:c r="AF41" s="20" t="n">
        <x:f>AF10*AF12</x:f>
        <x:v>699077.0880675159</x:v>
      </x:c>
      <x:c r="AG41" s="20" t="n">
        <x:f>AG10*AG12</x:f>
        <x:v>713209.5220910403</x:v>
      </x:c>
      <x:c r="AH41" s="20" t="n">
        <x:f>AH10*AH12</x:f>
        <x:v>727314.521122683</x:v>
      </x:c>
      <x:c r="AI41" s="20" t="n">
        <x:f>AI10*AI12</x:f>
        <x:v>741392.5291150768</x:v>
      </x:c>
      <x:c r="AJ41" s="20" t="n">
        <x:f>AJ10*AJ12</x:f>
        <x:v>755443.9879131102</x:v>
      </x:c>
      <x:c r="AK41" s="20" t="n">
        <x:f>AK10*AK12</x:f>
        <x:v>769469.3372718456</x:v>
      </x:c>
    </x:row>
    <x:row r="42">
      <x:c r="A42" t="str">
        <x:v>CAC proxy</x:v>
      </x:c>
      <x:c r="B42" t="n">
        <x:f>IFERROR(B17/B8,0)</x:f>
        <x:v>1299.0055</x:v>
      </x:c>
      <x:c r="C42" t="n">
        <x:f>IFERROR(C17/C8,0)</x:f>
        <x:v>1360.157452773723</x:v>
      </x:c>
      <x:c r="D42" t="n">
        <x:f>IFERROR(D17/D8,0)</x:f>
        <x:v>1421.062280609517</x:v>
      </x:c>
      <x:c r="E42" t="n">
        <x:f>IFERROR(E17/E8,0)</x:f>
        <x:v>1481.723024391483</x:v>
      </x:c>
      <x:c r="F42" t="n">
        <x:f>IFERROR(F17/F8,0)</x:f>
        <x:v>1542.1427031278943</x:v>
      </x:c>
      <x:c r="G42" t="n">
        <x:f>IFERROR(G17/G8,0)</x:f>
        <x:v>1602.324314147417</x:v>
      </x:c>
      <x:c r="H42" t="n">
        <x:f>IFERROR(H17/H8,0)</x:f>
        <x:v>1662.2708332937354</x:v>
      </x:c>
      <x:c r="I42" t="n">
        <x:f>IFERROR(I17/I8,0)</x:f>
        <x:v>1721.9852151185976</x:v>
      </x:c>
      <x:c r="J42" t="n">
        <x:f>IFERROR(J17/J8,0)</x:f>
        <x:v>1781.4703930732921</x:v>
      </x:c>
      <x:c r="K42" t="n">
        <x:f>IFERROR(K17/K8,0)</x:f>
        <x:v>1840.729279698576</x:v>
      </x:c>
      <x:c r="L42" t="n">
        <x:f>IFERROR(L17/L8,0)</x:f>
        <x:v>1899.7647668130555</x:v>
      </x:c>
      <x:c r="M42" t="n">
        <x:f>IFERROR(M17/M8,0)</x:f>
        <x:v>1958.5797257000434</x:v>
      </x:c>
      <x:c r="N42" t="n">
        <x:f>IFERROR(N17/N8,0)</x:f>
        <x:v>1885.7064722081789</x:v>
      </x:c>
      <x:c r="O42" t="n">
        <x:f>IFERROR(O17/O8,0)</x:f>
        <x:v>1949.9580421364935</x:v>
      </x:c>
      <x:c r="P42" t="n">
        <x:f>IFERROR(P17/P8,0)</x:f>
        <x:v>2014.052279252351</x:v>
      </x:c>
      <x:c r="Q42" t="n">
        <x:f>IFERROR(Q17/Q8,0)</x:f>
        <x:v>2077.9913059066275</x:v>
      </x:c>
      <x:c r="R42" t="n">
        <x:f>IFERROR(R17/R8,0)</x:f>
        <x:v>2141.7772337136767</x:v>
      </x:c>
      <x:c r="S42" t="n">
        <x:f>IFERROR(S17/S8,0)</x:f>
        <x:v>2205.4121636391005</x:v>
      </x:c>
      <x:c r="T42" t="n">
        <x:f>IFERROR(T17/T8,0)</x:f>
        <x:v>2268.898186086968</x:v>
      </x:c>
      <x:c r="U42" t="n">
        <x:f>IFERROR(U17/U8,0)</x:f>
        <x:v>2332.2373809864907</x:v>
      </x:c>
      <x:c r="V42" t="n">
        <x:f>IFERROR(V17/V8,0)</x:f>
        <x:v>2395.4318178781514</x:v>
      </x:c>
      <x:c r="W42" t="n">
        <x:f>IFERROR(W17/W8,0)</x:f>
        <x:v>2458.4835559992944</x:v>
      </x:c>
      <x:c r="X42" t="n">
        <x:f>IFERROR(X17/X8,0)</x:f>
        <x:v>2521.3946443691834</x:v>
      </x:c>
      <x:c r="Y42" t="n">
        <x:f>IFERROR(Y17/Y8,0)</x:f>
        <x:v>2584.1671218735282</x:v>
      </x:c>
      <x:c r="Z42" t="n">
        <x:f>IFERROR(Z17/Z8,0)</x:f>
        <x:v>2646.803017348484</x:v>
      </x:c>
      <x:c r="AA42" t="n">
        <x:f>IFERROR(AA17/AA8,0)</x:f>
        <x:v>2709.304349664118</x:v>
      </x:c>
      <x:c r="AB42" t="n">
        <x:f>IFERROR(AB17/AB8,0)</x:f>
        <x:v>2771.673127807373</x:v>
      </x:c>
      <x:c r="AC42" t="n">
        <x:f>IFERROR(AC17/AC8,0)</x:f>
        <x:v>2833.9113509645053</x:v>
      </x:c>
      <x:c r="AD42" t="n">
        <x:f>IFERROR(AD17/AD8,0)</x:f>
        <x:v>2896.0210086030065</x:v>
      </x:c>
      <x:c r="AE42" t="n">
        <x:f>IFERROR(AE17/AE8,0)</x:f>
        <x:v>2958.004080553028</x:v>
      </x:c>
      <x:c r="AF42" t="n">
        <x:f>IFERROR(AF17/AF8,0)</x:f>
        <x:v>3019.8625370882883</x:v>
      </x:c>
      <x:c r="AG42" t="n">
        <x:f>IFERROR(AG17/AG8,0)</x:f>
        <x:v>3081.598339006495</x:v>
      </x:c>
      <x:c r="AH42" t="n">
        <x:f>IFERROR(AH17/AH8,0)</x:f>
        <x:v>3143.213437709246</x:v>
      </x:c>
      <x:c r="AI42" t="n">
        <x:f>IFERROR(AI17/AI8,0)</x:f>
        <x:v>3204.709775281466</x:v>
      </x:c>
      <x:c r="AJ42" t="n">
        <x:f>IFERROR(AJ17/AJ8,0)</x:f>
        <x:v>3266.089284570325</x:v>
      </x:c>
      <x:c r="AK42" t="n">
        <x:f>IFERROR(AK17/AK8,0)</x:f>
        <x:v>3327.3538892636902</x:v>
      </x:c>
    </x:row>
    <x:row r="43">
      <x:c r="A43" t="str">
        <x:v>LTV proxy</x:v>
      </x:c>
      <x:c r="B43" t="n">
        <x:f>IFERROR(B12*B16/MAX(0.001,Assumptions!$B$8),0)</x:f>
        <x:v>21600.000000000004</x:v>
      </x:c>
      <x:c r="C43" t="n">
        <x:f>IFERROR(C12*C16/MAX(0.001,Assumptions!$B$8),0)</x:f>
        <x:v>21679.37588304943</x:v>
      </x:c>
      <x:c r="D43" t="n">
        <x:f>IFERROR(D12*D16/MAX(0.001,Assumptions!$B$8),0)</x:f>
        <x:v>21759.043457340063</x:v>
      </x:c>
      <x:c r="E43" t="n">
        <x:f>IFERROR(E12*E16/MAX(0.001,Assumptions!$B$8),0)</x:f>
        <x:v>21839.003794781613</x:v>
      </x:c>
      <x:c r="F43" t="n">
        <x:f>IFERROR(F12*F16/MAX(0.001,Assumptions!$B$8),0)</x:f>
        <x:v>21919.257971222847</x:v>
      </x:c>
      <x:c r="G43" t="n">
        <x:f>IFERROR(G12*G16/MAX(0.001,Assumptions!$B$8),0)</x:f>
        <x:v>21999.8070664661</x:v>
      </x:c>
      <x:c r="H43" t="n">
        <x:f>IFERROR(H12*H16/MAX(0.001,Assumptions!$B$8),0)</x:f>
        <x:v>22080.652164281742</x:v>
      </x:c>
      <x:c r="I43" t="n">
        <x:f>IFERROR(I12*I16/MAX(0.001,Assumptions!$B$8),0)</x:f>
        <x:v>22161.79435242282</x:v>
      </x:c>
      <x:c r="J43" t="n">
        <x:f>IFERROR(J12*J16/MAX(0.001,Assumptions!$B$8),0)</x:f>
        <x:v>22243.234722639645</x:v>
      </x:c>
      <x:c r="K43" t="n">
        <x:f>IFERROR(K12*K16/MAX(0.001,Assumptions!$B$8),0)</x:f>
        <x:v>22324.974370694523</x:v>
      </x:c>
      <x:c r="L43" t="n">
        <x:f>IFERROR(L12*L16/MAX(0.001,Assumptions!$B$8),0)</x:f>
        <x:v>22407.014396376464</x:v>
      </x:c>
      <x:c r="M43" t="n">
        <x:f>IFERROR(M12*M16/MAX(0.001,Assumptions!$B$8),0)</x:f>
        <x:v>22489.355903515996</x:v>
      </x:c>
      <x:c r="N43" t="n">
        <x:f>IFERROR(N12*N16/MAX(0.001,Assumptions!$B$8),0)</x:f>
        <x:v>22571.999999999996</x:v>
      </x:c>
      <x:c r="O43" t="n">
        <x:f>IFERROR(O12*O16/MAX(0.001,Assumptions!$B$8),0)</x:f>
        <x:v>22654.947797786655</x:v>
      </x:c>
      <x:c r="P43" t="n">
        <x:f>IFERROR(P12*P16/MAX(0.001,Assumptions!$B$8),0)</x:f>
        <x:v>22738.200412920363</x:v>
      </x:c>
      <x:c r="Q43" t="n">
        <x:f>IFERROR(Q12*Q16/MAX(0.001,Assumptions!$B$8),0)</x:f>
        <x:v>22821.758965546782</x:v>
      </x:c>
      <x:c r="R43" t="n">
        <x:f>IFERROR(R12*R16/MAX(0.001,Assumptions!$B$8),0)</x:f>
        <x:v>22905.624579927877</x:v>
      </x:c>
      <x:c r="S43" t="n">
        <x:f>IFERROR(S12*S16/MAX(0.001,Assumptions!$B$8),0)</x:f>
        <x:v>22989.798384457074</x:v>
      </x:c>
      <x:c r="T43" t="n">
        <x:f>IFERROR(T12*T16/MAX(0.001,Assumptions!$B$8),0)</x:f>
        <x:v>23074.281511674413</x:v>
      </x:c>
      <x:c r="U43" t="n">
        <x:f>IFERROR(U12*U16/MAX(0.001,Assumptions!$B$8),0)</x:f>
        <x:v>23159.075098281843</x:v>
      </x:c>
      <x:c r="V43" t="n">
        <x:f>IFERROR(V12*V16/MAX(0.001,Assumptions!$B$8),0)</x:f>
        <x:v>23244.180285158425</x:v>
      </x:c>
      <x:c r="W43" t="n">
        <x:f>IFERROR(W12*W16/MAX(0.001,Assumptions!$B$8),0)</x:f>
        <x:v>23329.59821737578</x:v>
      </x:c>
      <x:c r="X43" t="n">
        <x:f>IFERROR(X12*X16/MAX(0.001,Assumptions!$B$8),0)</x:f>
        <x:v>23415.330044213406</x:v>
      </x:c>
      <x:c r="Y43" t="n">
        <x:f>IFERROR(Y12*Y16/MAX(0.001,Assumptions!$B$8),0)</x:f>
        <x:v>23501.376919174207</x:v>
      </x:c>
      <x:c r="Z43" t="n">
        <x:f>IFERROR(Z12*Z16/MAX(0.001,Assumptions!$B$8),0)</x:f>
        <x:v>23587.739999999994</x:v>
      </x:c>
      <x:c r="AA43" t="n">
        <x:f>IFERROR(AA12*AA16/MAX(0.001,Assumptions!$B$8),0)</x:f>
        <x:v>23674.420448687055</x:v>
      </x:c>
      <x:c r="AB43" t="n">
        <x:f>IFERROR(AB12*AB16/MAX(0.001,Assumptions!$B$8),0)</x:f>
        <x:v>23761.41943150178</x:v>
      </x:c>
      <x:c r="AC43" t="n">
        <x:f>IFERROR(AC12*AC16/MAX(0.001,Assumptions!$B$8),0)</x:f>
        <x:v>23848.738118996385</x:v>
      </x:c>
      <x:c r="AD43" t="n">
        <x:f>IFERROR(AD12*AD16/MAX(0.001,Assumptions!$B$8),0)</x:f>
        <x:v>23936.377686024625</x:v>
      </x:c>
      <x:c r="AE43" t="n">
        <x:f>IFERROR(AE12*AE16/MAX(0.001,Assumptions!$B$8),0)</x:f>
        <x:v>24024.33931175764</x:v>
      </x:c>
      <x:c r="AF43" t="n">
        <x:f>IFERROR(AF12*AF16/MAX(0.001,Assumptions!$B$8),0)</x:f>
        <x:v>24112.62417969976</x:v>
      </x:c>
      <x:c r="AG43" t="n">
        <x:f>IFERROR(AG12*AG16/MAX(0.001,Assumptions!$B$8),0)</x:f>
        <x:v>24201.233477704525</x:v>
      </x:c>
      <x:c r="AH43" t="n">
        <x:f>IFERROR(AH12*AH16/MAX(0.001,Assumptions!$B$8),0)</x:f>
        <x:v>24290.16839799056</x:v>
      </x:c>
      <x:c r="AI43" t="n">
        <x:f>IFERROR(AI12*AI16/MAX(0.001,Assumptions!$B$8),0)</x:f>
        <x:v>24379.430137157688</x:v>
      </x:c>
      <x:c r="AJ43" t="n">
        <x:f>IFERROR(AJ12*AJ16/MAX(0.001,Assumptions!$B$8),0)</x:f>
        <x:v>24469.019896203008</x:v>
      </x:c>
      <x:c r="AK43" t="n">
        <x:f>IFERROR(AK12*AK16/MAX(0.001,Assumptions!$B$8),0)</x:f>
        <x:v>24558.938880537047</x:v>
      </x:c>
    </x:row>
    <x:row r="44">
      <x:c r="A44" t="str">
        <x:v>CAC payback (months)</x:v>
      </x:c>
      <x:c r="B44" t="n">
        <x:f>IFERROR(B42/(B12*B16),0)</x:f>
        <x:v>5.011595293209876</x:v>
      </x:c>
      <x:c r="C44" t="n">
        <x:f>IFERROR(C42/(C12*C16),0)</x:f>
        <x:v>5.22830800154321</x:v>
      </x:c>
      <x:c r="D44" t="n">
        <x:f>IFERROR(D42/(D12*D16),0)</x:f>
        <x:v>5.442420157376543</x:v>
      </x:c>
      <x:c r="E44" t="n">
        <x:f>IFERROR(E42/(E12*E16),0)</x:f>
        <x:v>5.653962967339876</x:v>
      </x:c>
      <x:c r="F44" t="n">
        <x:f>IFERROR(F42/(F12*F16),0)</x:f>
        <x:v>5.862967263583649</x:v>
      </x:c>
      <x:c r="G44" t="n">
        <x:f>IFERROR(G42/(G12*G16),0)</x:f>
        <x:v>6.069463508272498</x:v>
      </x:c>
      <x:c r="H44" t="n">
        <x:f>IFERROR(H42/(H12*H16),0)</x:f>
        <x:v>6.27348179802508</x:v>
      </x:c>
      <x:c r="I44" t="n">
        <x:f>IFERROR(I42/(I12*I16),0)</x:f>
        <x:v>6.475051868300633</x:v>
      </x:c>
      <x:c r="J44" t="n">
        <x:f>IFERROR(J42/(J12*J16),0)</x:f>
        <x:v>6.674203097732876</x:v>
      </x:c>
      <x:c r="K44" t="n">
        <x:f>IFERROR(K42/(K12*K16),0)</x:f>
        <x:v>6.870964512411932</x:v>
      </x:c>
      <x:c r="L44" t="n">
        <x:f>IFERROR(L42/(L12*L16),0)</x:f>
        <x:v>7.065364790114842</x:v>
      </x:c>
      <x:c r="M44" t="n">
        <x:f>IFERROR(M42/(M12*M16),0)</x:f>
        <x:v>7.257432264485315</x:v>
      </x:c>
      <x:c r="N44" t="n">
        <x:f>IFERROR(N42/(N12*N16),0)</x:f>
        <x:v>6.961820220509846</x:v>
      </x:c>
      <x:c r="O44" t="n">
        <x:f>IFERROR(O42/(O12*O16),0)</x:f>
        <x:v>7.172671725478443</x:v>
      </x:c>
      <x:c r="P44" t="n">
        <x:f>IFERROR(P42/(P12*P16),0)</x:f>
        <x:v>7.381309289644871</x:v>
      </x:c>
      <x:c r="Q44" t="n">
        <x:f>IFERROR(Q42/(Q12*Q16),0)</x:f>
        <x:v>7.587756159387549</x:v>
      </x:c>
      <x:c r="R44" t="n">
        <x:f>IFERROR(R42/(R12*R16),0)</x:f>
        <x:v>7.792035336997929</x:v>
      </x:c>
      <x:c r="S44" t="n">
        <x:f>IFERROR(S42/(S12*S16),0)</x:f>
        <x:v>7.994169583243401</x:v>
      </x:c>
      <x:c r="T44" t="n">
        <x:f>IFERROR(T42/(T12*T16),0)</x:f>
        <x:v>8.194181419903298</x:v>
      </x:c>
      <x:c r="U44" t="n">
        <x:f>IFERROR(U42/(U12*U16),0)</x:f>
        <x:v>8.392093132278262</x:v>
      </x:c>
      <x:c r="V44" t="n">
        <x:f>IFERROR(V42/(V12*V16),0)</x:f>
        <x:v>8.587926771673294</x:v>
      </x:c>
      <x:c r="W44" t="n">
        <x:f>IFERROR(W42/(W12*W16),0)</x:f>
        <x:v>8.781704157854673</x:v>
      </x:c>
      <x:c r="X44" t="n">
        <x:f>IFERROR(X42/(X12*X16),0)</x:f>
        <x:v>8.973446881481149</x:v>
      </x:c>
      <x:c r="Y44" t="n">
        <x:f>IFERROR(Y42/(Y12*Y16),0)</x:f>
        <x:v>9.163176306509545</x:v>
      </x:c>
      <x:c r="Z44" t="n">
        <x:f>IFERROR(Z42/(Z12*Z16),0)</x:f>
        <x:v>9.350913572575147</x:v>
      </x:c>
      <x:c r="AA44" t="n">
        <x:f>IFERROR(AA42/(AA12*AA16),0)</x:f>
        <x:v>9.536679597347058</x:v>
      </x:c>
      <x:c r="AB44" t="n">
        <x:f>IFERROR(AB42/(AB12*AB16),0)</x:f>
        <x:v>9.720495078858862</x:v>
      </x:c>
      <x:c r="AC44" t="n">
        <x:f>IFERROR(AC42/(AC12*AC16),0)</x:f>
        <x:v>9.902380497814796</x:v>
      </x:c>
      <x:c r="AD44" t="n">
        <x:f>IFERROR(AD42/(AD12*AD16),0)</x:f>
        <x:v>10.082356119871688</x:v>
      </x:c>
      <x:c r="AE44" t="n">
        <x:f>IFERROR(AE42/(AE12*AE16),0)</x:f>
        <x:v>10.260441997896985</x:v>
      </x:c>
      <x:c r="AF44" t="n">
        <x:f>IFERROR(AF42/(AF12*AF16),0)</x:f>
        <x:v>10.436657974203019</x:v>
      </x:c>
      <x:c r="AG44" t="n">
        <x:f>IFERROR(AG42/(AG12*AG16),0)</x:f>
        <x:v>10.611023682757839</x:v>
      </x:c>
      <x:c r="AH44" t="n">
        <x:f>IFERROR(AH42/(AH12*AH16),0)</x:f>
        <x:v>10.78355855137283</x:v>
      </x:c>
      <x:c r="AI44" t="n">
        <x:f>IFERROR(AI42/(AI12*AI16),0)</x:f>
        <x:v>10.954281803867367</x:v>
      </x:c>
      <x:c r="AJ44" t="n">
        <x:f>IFERROR(AJ42/(AJ12*AJ16),0)</x:f>
        <x:v>11.12321246221071</x:v>
      </x:c>
      <x:c r="AK44" t="n">
        <x:f>IFERROR(AK42/(AK12*AK16),0)</x:f>
        <x:v>11.290369348641448</x:v>
      </x:c>
    </x:row>
    <x:row r="45">
      <x:c r="A45" t="str">
        <x:v>Rule of 40</x:v>
      </x:c>
      <x:c r="B45" s="18" t="n">
        <x:f>B24</x:f>
        <x:v>-0.5326653210218638</x:v>
      </x:c>
      <x:c r="C45" s="18" t="n">
        <x:f>IFERROR((C13/B13-1)*12+C24,C24)</x:f>
        <x:v>0.04210870328692473</x:v>
      </x:c>
      <x:c r="D45" s="18" t="n">
        <x:f>IFERROR((D13/C13-1)*12+D24,D24)</x:f>
        <x:v>0.023269581826056984</x:v>
      </x:c>
      <x:c r="E45" s="18" t="n">
        <x:f>IFERROR((E13/D13-1)*12+E24,E24)</x:f>
        <x:v>0.0059391783695491585</x:v>
      </x:c>
      <x:c r="F45" s="18" t="n">
        <x:f>IFERROR((F13/E13-1)*12+F24,F24)</x:f>
        <x:v>-0.010082832575660172</x:v>
      </x:c>
      <x:c r="G45" s="18" t="n">
        <x:f>IFERROR((G13/F13-1)*12+G24,G24)</x:f>
        <x:v>-0.02496299542760183</x:v>
      </x:c>
      <x:c r="H45" s="18" t="n">
        <x:f>IFERROR((H13/G13-1)*12+H24,H24)</x:f>
        <x:v>-0.03884089614626829</x:v>
      </x:c>
      <x:c r="I45" s="18" t="n">
        <x:f>IFERROR((I13/H13-1)*12+I24,I24)</x:f>
        <x:v>-0.05183439731334277</x:v>
      </x:c>
      <x:c r="J45" s="18" t="n">
        <x:f>IFERROR((J13/I13-1)*12+J24,J24)</x:f>
        <x:v>-0.06404370014802208</x:v>
      </x:c>
      <x:c r="K45" s="18" t="n">
        <x:f>IFERROR((K13/J13-1)*12+K24,K24)</x:f>
        <x:v>-0.075554528810438</x:v>
      </x:c>
      <x:c r="L45" s="18" t="n">
        <x:f>IFERROR((L13/K13-1)*12+L24,L24)</x:f>
        <x:v>-0.08644065037523724</x:v>
      </x:c>
      <x:c r="M45" s="18" t="n">
        <x:f>IFERROR((M13/L13-1)*12+M24,M24)</x:f>
        <x:v>-0.09676588660546193</x:v>
      </x:c>
      <x:c r="N45" s="18" t="n">
        <x:f>IFERROR(N13/B13-1,0)+N24</x:f>
        <x:v>0.15146411415937977</x:v>
      </x:c>
      <x:c r="O45" s="18" t="n">
        <x:f>IFERROR(O13/C13-1,0)+O24</x:f>
        <x:v>0.13745170981580485</x:v>
      </x:c>
      <x:c r="P45" s="18" t="n">
        <x:f>IFERROR(P13/D13-1,0)+P24</x:f>
        <x:v>0.12477565495237986</x:v>
      </x:c>
      <x:c r="Q45" s="18" t="n">
        <x:f>IFERROR(Q13/E13-1,0)+Q24</x:f>
        <x:v>0.1132461293849743</x:v>
      </x:c>
      <x:c r="R45" s="18" t="n">
        <x:f>IFERROR(R13/F13-1,0)+R24</x:f>
        <x:v>0.10270658498622265</x:v>
      </x:c>
      <x:c r="S45" s="18" t="n">
        <x:f>IFERROR(S13/G13-1,0)+S24</x:f>
        <x:v>0.09302687649426827</x:v>
      </x:c>
      <x:c r="T45" s="18" t="n">
        <x:f>IFERROR(T13/H13-1,0)+T24</x:f>
        <x:v>0.08409800922374261</x:v>
      </x:c>
      <x:c r="U45" s="18" t="n">
        <x:f>IFERROR(U13/I13-1,0)+U24</x:f>
        <x:v>0.07582807949922477</x:v>
      </x:c>
      <x:c r="V45" s="18" t="n">
        <x:f>IFERROR(V13/J13-1,0)+V24</x:f>
        <x:v>0.06813910559879882</x:v>
      </x:c>
      <x:c r="W45" s="18" t="n">
        <x:f>IFERROR(W13/K13-1,0)+W24</x:f>
        <x:v>0.060964531013562806</x:v>
      </x:c>
      <x:c r="X45" s="18" t="n">
        <x:f>IFERROR(X13/L13-1,0)+X24</x:f>
        <x:v>0.05424724054635277</x:v>
      </x:c>
      <x:c r="Y45" s="18" t="n">
        <x:f>IFERROR(Y13/M13-1,0)+Y24</x:f>
        <x:v>0.04793797135882005</x:v>
      </x:c>
      <x:c r="Z45" s="18" t="n">
        <x:f>IFERROR(Z13/N13-1,0)+Z24</x:f>
        <x:v>0.0022620259086883476</x:v>
      </x:c>
      <x:c r="AA45" s="18" t="n">
        <x:f>IFERROR(AA13/O13-1,0)+AA24</x:f>
        <x:v>-0.010075604256422677</x:v>
      </x:c>
      <x:c r="AB45" s="18" t="n">
        <x:f>IFERROR(AB13/P13-1,0)+AB24</x:f>
        <x:v>-0.021652803741866122</x:v>
      </x:c>
      <x:c r="AC45" s="18" t="n">
        <x:f>IFERROR(AC13/Q13-1,0)+AC24</x:f>
        <x:v>-0.03254792230089726</x:v>
      </x:c>
      <x:c r="AD45" s="18" t="n">
        <x:f>IFERROR(AD13/R13-1,0)+AD24</x:f>
        <x:v>-0.04282914418521183</x:v>
      </x:c>
      <x:c r="AE45" s="18" t="n">
        <x:f>IFERROR(AE13/S13-1,0)+AE24</x:f>
        <x:v>-0.05255606525881423</x:v>
      </x:c>
      <x:c r="AF45" s="18" t="n">
        <x:f>IFERROR(AF13/T13-1,0)+AF24</x:f>
        <x:v>-0.06178098759904038</x:v>
      </x:c>
      <x:c r="AG45" s="18" t="n">
        <x:f>IFERROR(AG13/U13-1,0)+AG24</x:f>
        <x:v>-0.07054998860662953</x:v>
      </x:c>
      <x:c r="AH45" s="18" t="n">
        <x:f>IFERROR(AH13/V13-1,0)+AH24</x:f>
        <x:v>-0.0789038089094049</x:v>
      </x:c>
      <x:c r="AI45" s="18" t="n">
        <x:f>IFERROR(AI13/W13-1,0)+AI24</x:f>
        <x:v>-0.08687859371263446</x:v>
      </x:c>
      <x:c r="AJ45" s="18" t="n">
        <x:f>IFERROR(AJ13/X13-1,0)+AJ24</x:f>
        <x:v>-0.09450651490572498</x:v>
      </x:c>
      <x:c r="AK45" s="18" t="n">
        <x:f>IFERROR(AK13/Y13-1,0)+AK24</x:f>
        <x:v>-0.10181629559225491</x:v>
      </x:c>
    </x:row>
    <x:row r="46">
      <x:c r="A46" t="str">
        <x:v>Balance check (cash bridge)</x:v>
      </x:c>
      <x:c r="B46" t="n">
        <x:f>B39-(B38+B37)</x:f>
        <x:v>0</x:v>
      </x:c>
      <x:c r="C46" t="n">
        <x:f>C39-(C38+C37)</x:f>
        <x:v>0</x:v>
      </x:c>
      <x:c r="D46" t="n">
        <x:f>D39-(D38+D37)</x:f>
        <x:v>0</x:v>
      </x:c>
      <x:c r="E46" t="n">
        <x:f>E39-(E38+E37)</x:f>
        <x:v>0</x:v>
      </x:c>
      <x:c r="F46" t="n">
        <x:f>F39-(F38+F37)</x:f>
        <x:v>0</x:v>
      </x:c>
      <x:c r="G46" t="n">
        <x:f>G39-(G38+G37)</x:f>
        <x:v>0</x:v>
      </x:c>
      <x:c r="H46" t="n">
        <x:f>H39-(H38+H37)</x:f>
        <x:v>0</x:v>
      </x:c>
      <x:c r="I46" t="n">
        <x:f>I39-(I38+I37)</x:f>
        <x:v>0</x:v>
      </x:c>
      <x:c r="J46" t="n">
        <x:f>J39-(J38+J37)</x:f>
        <x:v>0</x:v>
      </x:c>
      <x:c r="K46" t="n">
        <x:f>K39-(K38+K37)</x:f>
        <x:v>0</x:v>
      </x:c>
      <x:c r="L46" t="n">
        <x:f>L39-(L38+L37)</x:f>
        <x:v>0</x:v>
      </x:c>
      <x:c r="M46" t="n">
        <x:f>M39-(M38+M37)</x:f>
        <x:v>0</x:v>
      </x:c>
      <x:c r="N46" t="n">
        <x:f>N39-(N38+N37)</x:f>
        <x:v>0</x:v>
      </x:c>
      <x:c r="O46" t="n">
        <x:f>O39-(O38+O37)</x:f>
        <x:v>0</x:v>
      </x:c>
      <x:c r="P46" t="n">
        <x:f>P39-(P38+P37)</x:f>
        <x:v>0</x:v>
      </x:c>
      <x:c r="Q46" t="n">
        <x:f>Q39-(Q38+Q37)</x:f>
        <x:v>0</x:v>
      </x:c>
      <x:c r="R46" t="n">
        <x:f>R39-(R38+R37)</x:f>
        <x:v>0</x:v>
      </x:c>
      <x:c r="S46" t="n">
        <x:f>S39-(S38+S37)</x:f>
        <x:v>0</x:v>
      </x:c>
      <x:c r="T46" t="n">
        <x:f>T39-(T38+T37)</x:f>
        <x:v>0</x:v>
      </x:c>
      <x:c r="U46" t="n">
        <x:f>U39-(U38+U37)</x:f>
        <x:v>0</x:v>
      </x:c>
      <x:c r="V46" t="n">
        <x:f>V39-(V38+V37)</x:f>
        <x:v>0</x:v>
      </x:c>
      <x:c r="W46" t="n">
        <x:f>W39-(W38+W37)</x:f>
        <x:v>0</x:v>
      </x:c>
      <x:c r="X46" t="n">
        <x:f>X39-(X38+X37)</x:f>
        <x:v>0</x:v>
      </x:c>
      <x:c r="Y46" t="n">
        <x:f>Y39-(Y38+Y37)</x:f>
        <x:v>0</x:v>
      </x:c>
      <x:c r="Z46" t="n">
        <x:f>Z39-(Z38+Z37)</x:f>
        <x:v>0</x:v>
      </x:c>
      <x:c r="AA46" t="n">
        <x:f>AA39-(AA38+AA37)</x:f>
        <x:v>0</x:v>
      </x:c>
      <x:c r="AB46" t="n">
        <x:f>AB39-(AB38+AB37)</x:f>
        <x:v>0</x:v>
      </x:c>
      <x:c r="AC46" t="n">
        <x:f>AC39-(AC38+AC37)</x:f>
        <x:v>0</x:v>
      </x:c>
      <x:c r="AD46" t="n">
        <x:f>AD39-(AD38+AD37)</x:f>
        <x:v>0</x:v>
      </x:c>
      <x:c r="AE46" t="n">
        <x:f>AE39-(AE38+AE37)</x:f>
        <x:v>0</x:v>
      </x:c>
      <x:c r="AF46" t="n">
        <x:f>AF39-(AF38+AF37)</x:f>
        <x:v>0</x:v>
      </x:c>
      <x:c r="AG46" t="n">
        <x:f>AG39-(AG38+AG37)</x:f>
        <x:v>0</x:v>
      </x:c>
      <x:c r="AH46" t="n">
        <x:f>AH39-(AH38+AH37)</x:f>
        <x:v>0</x:v>
      </x:c>
      <x:c r="AI46" t="n">
        <x:f>AI39-(AI38+AI37)</x:f>
        <x:v>0</x:v>
      </x:c>
      <x:c r="AJ46" t="n">
        <x:f>AJ39-(AJ38+AJ37)</x:f>
        <x:v>0</x:v>
      </x:c>
      <x:c r="AK46" t="n">
        <x:f>AK39-(AK38+AK37)</x:f>
        <x:v>0</x:v>
      </x:c>
    </x:row>
  </x:sheetData>
  <x:mergeCells>
    <x:mergeCell ref="A1:Y2"/>
    <x:mergeCell ref="A3:Y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3" t="str">
        <x:v>BUDGET VS ACTUAL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FY2025 synthetic actuals vs illustrative management budget | USD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6" ht="25" customHeight="1">
      <x:c r="A6" s="23" t="str">
        <x:v>Metric</x:v>
      </x:c>
      <x:c r="B6" s="23" t="str">
        <x:v>Budget FY25</x:v>
      </x:c>
      <x:c r="C6" s="23" t="str">
        <x:v>Actual FY25</x:v>
      </x:c>
      <x:c r="D6" s="23" t="str">
        <x:v>Variance $</x:v>
      </x:c>
      <x:c r="E6" s="23" t="str">
        <x:v>Variance %</x:v>
      </x:c>
      <x:c r="F6" s="23" t="str">
        <x:v>Interpretation</x:v>
      </x:c>
    </x:row>
    <x:row r="7">
      <x:c r="A7" t="str">
        <x:v>Revenue</x:v>
      </x:c>
      <x:c r="B7" t="n">
        <x:f>SUM('Monthly FP&amp;A'!B13:M13)/(1+Assumptions!$B$30)/(1+Assumptions!$B$28)</x:f>
        <x:v>3952034.4269572445</x:v>
      </x:c>
      <x:c r="C7" t="n">
        <x:f>SUM('Monthly FP&amp;A'!B13:M13)</x:f>
        <x:v>4084427.580260312</x:v>
      </x:c>
      <x:c r="D7" t="n">
        <x:f>C7-B7</x:f>
        <x:v>132393.15330306767</x:v>
      </x:c>
      <x:c r="E7" s="18" t="n">
        <x:f>IFERROR(D7/ABS(B7),0)</x:f>
        <x:v>0.033499999999999995</x:v>
      </x:c>
      <x:c r="F7" t="str">
        <x:f>IF(D7=0,"On budget",IF(D7&gt;0,"Above budget","Below budget"))</x:f>
        <x:v>Above budget</x:v>
      </x:c>
    </x:row>
    <x:row r="8">
      <x:c r="A8" t="str">
        <x:v>Cost of service</x:v>
      </x:c>
      <x:c r="B8" t="n">
        <x:f>SUM('Monthly FP&amp;A'!B14:M14)/(1+Assumptions!$B$31)*Assumptions!$B$29</x:f>
        <x:v>734400.0029677813</x:v>
      </x:c>
      <x:c r="C8" t="n">
        <x:f>SUM('Monthly FP&amp;A'!B14:M14)</x:f>
        <x:v>776041.2402494595</x:v>
      </x:c>
      <x:c r="D8" t="n">
        <x:f>C8-B8</x:f>
        <x:v>41641.237281678244</x:v>
      </x:c>
      <x:c r="E8" s="18" t="n">
        <x:f>IFERROR(D8/ABS(B8),0)</x:f>
        <x:v>0.05670103092783495</x:v>
      </x:c>
      <x:c r="F8" t="str">
        <x:f>IF(D8=0,"On budget",IF(D8&gt;0,"Above budget","Below budget"))</x:f>
        <x:v>Above budget</x:v>
      </x:c>
    </x:row>
    <x:row r="9">
      <x:c r="A9" t="str">
        <x:v>Sales &amp; marketing</x:v>
      </x:c>
      <x:c r="B9" t="n">
        <x:f>SUM('Monthly FP&amp;A'!B17:M17)/(1+Assumptions!$B$31)*Assumptions!$B$29</x:f>
        <x:v>889010.5299083667</x:v>
      </x:c>
      <x:c r="C9" t="n">
        <x:f>SUM('Monthly FP&amp;A'!B17:M17)</x:f>
        <x:v>939418.343459872</x:v>
      </x:c>
      <x:c r="D9" t="n">
        <x:f>C9-B9</x:f>
        <x:v>50407.81355150521</x:v>
      </x:c>
      <x:c r="E9" s="18" t="n">
        <x:f>IFERROR(D9/ABS(B9),0)</x:f>
        <x:v>0.05670103092783492</x:v>
      </x:c>
      <x:c r="F9" t="str">
        <x:f>IF(D9=0,"On budget",IF(D9&gt;0,"Above budget","Below budget"))</x:f>
        <x:v>Above budget</x:v>
      </x:c>
    </x:row>
    <x:row r="10">
      <x:c r="A10" t="str">
        <x:v>Research &amp; development</x:v>
      </x:c>
      <x:c r="B10" t="n">
        <x:f>SUM('Monthly FP&amp;A'!B18:M18)/(1+Assumptions!$B$31)*Assumptions!$B$29</x:f>
        <x:v>695747.3712326346</x:v>
      </x:c>
      <x:c r="C10" t="n">
        <x:f>SUM('Monthly FP&amp;A'!B18:M18)</x:f>
        <x:v>735196.9644468562</x:v>
      </x:c>
      <x:c r="D10" t="n">
        <x:f>C10-B10</x:f>
        <x:v>39449.59321422153</x:v>
      </x:c>
      <x:c r="E10" s="18" t="n">
        <x:f>IFERROR(D10/ABS(B10),0)</x:f>
        <x:v>0.056701030927835024</x:v>
      </x:c>
      <x:c r="F10" t="str">
        <x:f>IF(D10=0,"On budget",IF(D10&gt;0,"Above budget","Below budget"))</x:f>
        <x:v>Above budget</x:v>
      </x:c>
    </x:row>
    <x:row r="11">
      <x:c r="A11" t="str">
        <x:v>General &amp; admin</x:v>
      </x:c>
      <x:c r="B11" t="n">
        <x:f>SUM('Monthly FP&amp;A'!B19:M19)/(1+Assumptions!$B$31)*Assumptions!$B$29</x:f>
        <x:v>502484.21255690296</x:v>
      </x:c>
      <x:c r="C11" t="n">
        <x:f>SUM('Monthly FP&amp;A'!B19:M19)</x:f>
        <x:v>530975.5854338408</x:v>
      </x:c>
      <x:c r="D11" t="n">
        <x:f>C11-B11</x:f>
        <x:v>28491.372876937792</x:v>
      </x:c>
      <x:c r="E11" s="18" t="n">
        <x:f>IFERROR(D11/ABS(B11),0)</x:f>
        <x:v>0.056701030927835044</x:v>
      </x:c>
      <x:c r="F11" t="str">
        <x:f>IF(D11=0,"On budget",IF(D11&gt;0,"Above budget","Below budget"))</x:f>
        <x:v>Above budget</x:v>
      </x:c>
    </x:row>
    <x:row r="12">
      <x:c r="A12" t="str">
        <x:v>Payroll</x:v>
      </x:c>
      <x:c r="B12" t="n">
        <x:f>SUM('Monthly FP&amp;A'!B21:M21)/(1+Assumptions!$B$31)*Assumptions!$B$29</x:f>
        <x:v>2944649.9638429927</x:v>
      </x:c>
      <x:c r="C12" t="n">
        <x:f>SUM('Monthly FP&amp;A'!B21:M21)</x:f>
        <x:v>3111614.6525145024</x:v>
      </x:c>
      <x:c r="D12" t="n">
        <x:f>C12-B12</x:f>
        <x:v>166964.68867150974</x:v>
      </x:c>
      <x:c r="E12" s="18" t="n">
        <x:f>IFERROR(D12/ABS(B12),0)</x:f>
        <x:v>0.056701030927834996</x:v>
      </x:c>
      <x:c r="F12" t="str">
        <x:f>IF(D12=0,"On budget",IF(D12&gt;0,"Above budget","Below budget"))</x:f>
        <x:v>Above budget</x:v>
      </x:c>
    </x:row>
    <x:row r="13">
      <x:c r="A13" t="str">
        <x:v>Total operating expenses</x:v>
      </x:c>
      <x:c r="B13" t="n">
        <x:f>SUM('Monthly FP&amp;A'!B22:M22)/(1+Assumptions!$B$31)*Assumptions!$B$29</x:f>
        <x:v>5031892.077540897</x:v>
      </x:c>
      <x:c r="C13" t="n">
        <x:f>SUM('Monthly FP&amp;A'!B22:M22)</x:f>
        <x:v>5317205.545855071</x:v>
      </x:c>
      <x:c r="D13" t="n">
        <x:f>C13-B13</x:f>
        <x:v>285313.46831417456</x:v>
      </x:c>
      <x:c r="E13" s="18" t="n">
        <x:f>IFERROR(D13/ABS(B13),0)</x:f>
        <x:v>0.05670103092783505</x:v>
      </x:c>
      <x:c r="F13" t="str">
        <x:f>IF(D13=0,"On budget",IF(D13&gt;0,"Above budget","Below budget"))</x:f>
        <x:v>Above budget</x:v>
      </x:c>
    </x:row>
    <x:row r="14">
      <x:c r="A14" t="str">
        <x:v>EBITDA</x:v>
      </x:c>
      <x:c r="B14" t="n">
        <x:f>B7-SUM(B8:B13)</x:f>
        <x:v>-6846149.73109233</x:v>
      </x:c>
      <x:c r="C14" t="n">
        <x:f>SUM('Monthly FP&amp;A'!B23:M23)</x:f>
        <x:v>-2008819.2058442186</x:v>
      </x:c>
      <x:c r="D14" t="n">
        <x:f>C14-B14</x:f>
        <x:v>4837330.525248111</x:v>
      </x:c>
      <x:c r="E14" s="18" t="n">
        <x:f>IFERROR(D14/ABS(B14),0)</x:f>
        <x:v>0.706576793563102</x:v>
      </x:c>
      <x:c r="F14" t="str">
        <x:f>IF(D14=0,"On budget",IF(D14&gt;0,"Above budget","Below budget"))</x:f>
        <x:v>Above budget</x:v>
      </x:c>
    </x:row>
    <x:row r="15">
      <x:c r="A15" t="str">
        <x:v>Net income</x:v>
      </x:c>
      <x:c r="B15" t="n">
        <x:f>B14-SUM('Monthly FP&amp;A'!B25:M25)-SUM('Monthly FP&amp;A'!B27:M27)</x:f>
        <x:v>-7026149.73109233</x:v>
      </x:c>
      <x:c r="C15" t="n">
        <x:f>SUM('Monthly FP&amp;A'!B29:M29)</x:f>
        <x:v>-2188819.2058442184</x:v>
      </x:c>
      <x:c r="D15" t="n">
        <x:f>C15-B15</x:f>
        <x:v>4837330.525248112</x:v>
      </x:c>
      <x:c r="E15" s="18" t="n">
        <x:f>IFERROR(D15/ABS(B15),0)</x:f>
        <x:v>0.6884752973370054</x:v>
      </x:c>
      <x:c r="F15" t="str">
        <x:f>IF(D15=0,"On budget",IF(D15&gt;0,"Above budget","Below budget"))</x:f>
        <x:v>Above budget</x:v>
      </x:c>
    </x:row>
    <x:row r="16">
      <x:c r="A16" t="str">
        <x:v>Operating cash flow</x:v>
      </x:c>
      <x:c r="B16" t="n">
        <x:f>C16/(1+Assumptions!$B$29)</x:f>
        <x:v>-1034356.1784969463</x:v>
      </x:c>
      <x:c r="C16" t="n">
        <x:f>SUM('Monthly FP&amp;A'!B34:M34)</x:f>
        <x:v>-2037681.6716389842</x:v>
      </x:c>
      <x:c r="D16" t="n">
        <x:f>C16-B16</x:f>
        <x:v>-1003325.4931420379</x:v>
      </x:c>
      <x:c r="E16" s="18" t="n">
        <x:f>IFERROR(D16/ABS(B16),0)</x:f>
        <x:v>-0.97</x:v>
      </x:c>
      <x:c r="F16" t="str">
        <x:f>IF(D16=0,"On budget",IF(D16&gt;0,"Above budget","Below budget"))</x:f>
        <x:v>Below budget</x:v>
      </x:c>
    </x:row>
    <x:row r="17">
      <x:c r="A17" t="str">
        <x:v>Capital expenditure</x:v>
      </x:c>
      <x:c r="B17" t="n">
        <x:f>SUM('Monthly FP&amp;A'!B30:M30)/(1+Assumptions!$B$31)*Assumptions!$B$29</x:f>
        <x:v>204409.75609756098</x:v>
      </x:c>
      <x:c r="C17" t="n">
        <x:f>SUM('Monthly FP&amp;A'!B30:M30)</x:f>
        <x:v>216000</x:v>
      </x:c>
      <x:c r="D17" t="n">
        <x:f>C17-B17</x:f>
        <x:v>11590.243902439019</x:v>
      </x:c>
      <x:c r="E17" s="18" t="n">
        <x:f>IFERROR(D17/ABS(B17),0)</x:f>
        <x:v>0.056701030927835024</x:v>
      </x:c>
      <x:c r="F17" t="str">
        <x:f>IF(D17=0,"On budget",IF(D17&gt;0,"Above budget","Below budget"))</x:f>
        <x:v>Above budget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3" t="str">
        <x:v>SAAS OPERATING SCORECARD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SaaS metrics are simplified proxies; no cohort-level retention analysis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6" ht="25" customHeight="1">
      <x:c r="A6" s="23" t="str">
        <x:v>Metric</x:v>
      </x:c>
      <x:c r="B6" s="23" t="str">
        <x:v>FY2025</x:v>
      </x:c>
      <x:c r="C6" s="23" t="str">
        <x:v>FY2026</x:v>
      </x:c>
      <x:c r="D6" s="23" t="str">
        <x:v>FY2027</x:v>
      </x:c>
      <x:c r="E6" s="23" t="str">
        <x:v>Definition / Caveat</x:v>
      </x:c>
    </x:row>
    <x:row r="7">
      <x:c r="A7" t="str">
        <x:v>Year-end customers</x:v>
      </x:c>
      <x:c r="B7" t="n">
        <x:f>'Monthly FP&amp;A'!M10</x:f>
        <x:v>1274.828183575795</x:v>
      </x:c>
      <x:c r="C7" t="n">
        <x:f>'Monthly FP&amp;A'!Y10</x:f>
        <x:v>1721.4195031388435</x:v>
      </x:c>
      <x:c r="D7" t="n">
        <x:f>'Monthly FP&amp;A'!AK10</x:f>
        <x:v>2114.8788438498605</x:v>
      </x:c>
      <x:c r="E7" t="str">
        <x:v>Ending customer count</x:v>
      </x:c>
    </x:row>
    <x:row r="8">
      <x:c r="A8" t="str">
        <x:v>Year-end ARR</x:v>
      </x:c>
      <x:c r="B8" s="40" t="n">
        <x:f>'Monthly FP&amp;A'!M40</x:f>
        <x:v>5096900.397558911</x:v>
      </x:c>
      <x:c r="C8" s="40" t="n">
        <x:f>'Monthly FP&amp;A'!Y40</x:f>
        <x:v>7192129.525205964</x:v>
      </x:c>
      <x:c r="D8" s="40" t="n">
        <x:f>'Monthly FP&amp;A'!AK40</x:f>
        <x:v>9233632.047262147</x:v>
      </x:c>
      <x:c r="E8" t="str">
        <x:v>Year-end MRR x 12</x:v>
      </x:c>
    </x:row>
    <x:row r="9">
      <x:c r="A9" t="str">
        <x:v>Year-end MRR</x:v>
      </x:c>
      <x:c r="B9" s="40" t="n">
        <x:f>'Monthly FP&amp;A'!M41</x:f>
        <x:v>424741.6997965759</x:v>
      </x:c>
      <x:c r="C9" s="40" t="n">
        <x:f>'Monthly FP&amp;A'!Y41</x:f>
        <x:v>599344.127100497</x:v>
      </x:c>
      <x:c r="D9" s="40" t="n">
        <x:f>'Monthly FP&amp;A'!AK41</x:f>
        <x:v>769469.3372718456</x:v>
      </x:c>
      <x:c r="E9" t="str">
        <x:v>Ending customer count x ARPU</x:v>
      </x:c>
    </x:row>
    <x:row r="10">
      <x:c r="A10" t="str">
        <x:v>Annual subscription revenue</x:v>
      </x:c>
      <x:c r="B10" s="40" t="n">
        <x:f>SUM('Monthly FP&amp;A'!B13:M13)</x:f>
        <x:v>4084427.580260312</x:v>
      </x:c>
      <x:c r="C10" s="40" t="n">
        <x:f>SUM('Monthly FP&amp;A'!N13:Y13)</x:f>
        <x:v>6160499.733799314</x:v>
      </x:c>
      <x:c r="D10" s="40" t="n">
        <x:f>SUM('Monthly FP&amp;A'!Z13:AK13)</x:f>
        <x:v>8231874.494117433</x:v>
      </x:c>
      <x:c r="E10" t="str">
        <x:v>Sum of monthly recognised subscription revenue</x:v>
      </x:c>
    </x:row>
    <x:row r="11">
      <x:c r="A11" t="str">
        <x:v>Gross margin</x:v>
      </x:c>
      <x:c r="B11" s="18" t="n">
        <x:f>SUM('Monthly FP&amp;A'!B15:M15)/SUM('Monthly FP&amp;A'!B13:M13)</x:f>
        <x:v>0.8100000000000004</x:v>
      </x:c>
      <x:c r="C11" s="18" t="n">
        <x:f>SUM('Monthly FP&amp;A'!N15:Y15)/SUM('Monthly FP&amp;A'!N13:Y13)</x:f>
        <x:v>0.81</x:v>
      </x:c>
      <x:c r="D11" s="18" t="n">
        <x:f>SUM('Monthly FP&amp;A'!Z15:AK15)/SUM('Monthly FP&amp;A'!Z13:AK13)</x:f>
        <x:v>0.8099999999999997</x:v>
      </x:c>
      <x:c r="E11" t="str">
        <x:v>Gross profit / revenue</x:v>
      </x:c>
    </x:row>
    <x:row r="12">
      <x:c r="A12" t="str">
        <x:v>EBITDA margin</x:v>
      </x:c>
      <x:c r="B12" s="18" t="n">
        <x:f>SUM('Monthly FP&amp;A'!B23:M23)/SUM('Monthly FP&amp;A'!B13:M13)</x:f>
        <x:v>-0.4918239254755475</x:v>
      </x:c>
      <x:c r="C12" s="18" t="n">
        <x:f>SUM('Monthly FP&amp;A'!N23:Y23)/SUM('Monthly FP&amp;A'!N13:Y13)</x:f>
        <x:v>-0.41990344094551474</x:v>
      </x:c>
      <x:c r="D12" s="18" t="n">
        <x:f>SUM('Monthly FP&amp;A'!Z23:AK23)/SUM('Monthly FP&amp;A'!Z13:AK13)</x:f>
        <x:v>-0.3938307014823626</x:v>
      </x:c>
      <x:c r="E12" t="str">
        <x:v>EBITDA / revenue</x:v>
      </x:c>
    </x:row>
    <x:row r="13">
      <x:c r="A13" t="str">
        <x:v>Monthly logo churn</x:v>
      </x:c>
      <x:c r="B13" s="18" t="n">
        <x:f>SUM('Monthly FP&amp;A'!B9:M9)/SUM('Monthly FP&amp;A'!B7:M7)</x:f>
        <x:v>0.012</x:v>
      </x:c>
      <x:c r="C13" s="18" t="n">
        <x:f>SUM('Monthly FP&amp;A'!N9:Y9)/SUM('Monthly FP&amp;A'!N7:Y7)</x:f>
        <x:v>0.010499999999999999</x:v>
      </x:c>
      <x:c r="D13" s="18" t="n">
        <x:f>SUM('Monthly FP&amp;A'!Z9:AK9)/SUM('Monthly FP&amp;A'!Z7:AK7)</x:f>
        <x:v>0.0105</x:v>
      </x:c>
      <x:c r="E13" t="str">
        <x:v>Monthly churn / opening customers; simple proxy</x:v>
      </x:c>
    </x:row>
    <x:row r="14">
      <x:c r="A14" t="str">
        <x:v>CAC proxy</x:v>
      </x:c>
      <x:c r="B14" s="18" t="n">
        <x:f>'Monthly FP&amp;A'!M42</x:f>
        <x:v>1958.5797257000434</x:v>
      </x:c>
      <x:c r="C14" s="18" t="n">
        <x:f>'Monthly FP&amp;A'!Y42</x:f>
        <x:v>2584.1671218735282</x:v>
      </x:c>
      <x:c r="D14" s="18" t="n">
        <x:f>'Monthly FP&amp;A'!AK42</x:f>
        <x:v>3327.3538892636902</x:v>
      </x:c>
      <x:c r="E14" t="str">
        <x:v>S&amp;M spend / new customers; not cohort adjusted</x:v>
      </x:c>
    </x:row>
    <x:row r="15">
      <x:c r="A15" t="str">
        <x:v>LTV proxy</x:v>
      </x:c>
      <x:c r="B15" s="42" t="n">
        <x:f>'Monthly FP&amp;A'!M43</x:f>
        <x:v>22489.355903515996</x:v>
      </x:c>
      <x:c r="C15" s="42" t="n">
        <x:f>'Monthly FP&amp;A'!Y43</x:f>
        <x:v>23501.376919174207</x:v>
      </x:c>
      <x:c r="D15" s="42" t="n">
        <x:f>'Monthly FP&amp;A'!AK43</x:f>
        <x:v>24558.938880537047</x:v>
      </x:c>
      <x:c r="E15" t="str">
        <x:v>ARPU x gross margin / logo churn</x:v>
      </x:c>
    </x:row>
    <x:row r="16">
      <x:c r="A16" t="str">
        <x:v>CAC payback months</x:v>
      </x:c>
      <x:c r="B16" s="42" t="n">
        <x:f>'Monthly FP&amp;A'!M44</x:f>
        <x:v>7.257432264485315</x:v>
      </x:c>
      <x:c r="C16" s="42" t="n">
        <x:f>'Monthly FP&amp;A'!Y44</x:f>
        <x:v>9.163176306509545</x:v>
      </x:c>
      <x:c r="D16" s="42" t="n">
        <x:f>'Monthly FP&amp;A'!AK44</x:f>
        <x:v>11.290369348641448</x:v>
      </x:c>
      <x:c r="E16" t="str">
        <x:v>CAC / (ARPU x gross margin)</x:v>
      </x:c>
    </x:row>
    <x:row r="17">
      <x:c r="A17" t="str">
        <x:v>Rule of 40 proxy</x:v>
      </x:c>
      <x:c r="B17" s="18" t="n">
        <x:f>B12</x:f>
        <x:v>-0.4918239254755475</x:v>
      </x:c>
      <x:c r="C17" s="18" t="n">
        <x:f>(C10/B10-1)+C12</x:f>
        <x:v>0.08838618171115326</x:v>
      </x:c>
      <x:c r="D17" s="18" t="n">
        <x:f>(D10/C10-1)+D12</x:f>
        <x:v>-0.057595842327412605</x:v>
      </x:c>
      <x:c r="E17" t="str">
        <x:v>Annual revenue growth plus EBITDA margin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</x:cols>
  <x:sheetData>
    <x:row r="1" ht="24" customHeight="1">
      <x:c r="A1" s="3" t="str">
        <x:v>CFO MANAGEMENT COMMENTARY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7" t="str">
        <x:v>Formula-linked FY2026 outlook | Synthetic company | Directional recommendations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6">
      <x:c r="A6" s="23" t="str">
        <x:v>Revenue trajectory</x:v>
      </x:c>
      <x:c r="B6" s="23"/>
      <x:c r="C6" s="23"/>
      <x:c r="D6" s="23"/>
      <x:c r="E6" s="23"/>
      <x:c r="F6" s="23"/>
      <x:c r="G6" s="23"/>
      <x:c r="H6" s="23"/>
      <x:c r="I6" s="23"/>
      <x:c r="J6" s="23"/>
      <x:c r="K6" s="23"/>
    </x:row>
    <x:row r="7" ht="29" customHeight="1">
      <x:c r="A7" s="38" t="str">
        <x:f>IF('SaaS KPIs'!C10&gt;'SaaS KPIs'!B10,"FY2026 revenue grows versus FY2025; test whether new-customer growth is sustainable.","FY2026 revenue trails FY2025; reassess acquisition and retention assumptions.")</x:f>
        <x:v>FY2026 revenue grows versus FY2025; test whether new-customer growth is sustainable.</x:v>
      </x:c>
      <x:c r="B7" s="38"/>
      <x:c r="C7" s="38"/>
      <x:c r="D7" s="38"/>
      <x:c r="E7" s="38"/>
      <x:c r="F7" s="38"/>
      <x:c r="G7" s="38"/>
      <x:c r="H7" s="38"/>
      <x:c r="I7" s="38"/>
      <x:c r="J7" s="38"/>
      <x:c r="K7" s="38"/>
    </x:row>
    <x:row r="8" ht="29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</x:row>
    <x:row r="9">
      <x:c r="A9" s="23" t="str">
        <x:v>Profitability</x:v>
      </x:c>
      <x:c r="B9" s="23"/>
      <x:c r="C9" s="23"/>
      <x:c r="D9" s="23"/>
      <x:c r="E9" s="23"/>
      <x:c r="F9" s="23"/>
      <x:c r="G9" s="23"/>
      <x:c r="H9" s="23"/>
      <x:c r="I9" s="23"/>
      <x:c r="J9" s="23"/>
      <x:c r="K9" s="23"/>
    </x:row>
    <x:row r="10" ht="29" customHeight="1">
      <x:c r="A10" s="38" t="str">
        <x:f>IF('SaaS KPIs'!C12&gt;=0,"FY2026 EBITDA margin is positive; focus on maintaining cost discipline.","FY2026 EBITDA remains negative; prioritise contribution margin and payroll efficiency.")</x:f>
        <x:v>FY2026 EBITDA remains negative; prioritise contribution margin and payroll efficiency.</x:v>
      </x:c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</x:row>
    <x:row r="11" ht="29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</x:row>
    <x:row r="12">
      <x:c r="A12" s="23" t="str">
        <x:v>Liquidity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 ht="29" customHeight="1">
      <x:c r="A13" s="38" t="str">
        <x:f>IF('Monthly FP&amp;A'!Y39&gt;0,"Year-end FY2026 cash is positive under the base forecast; monitor downside runway.","FY2026 ending cash is negative in the base forecast; financing or cost action is required.")</x:f>
        <x:v>FY2026 ending cash is negative in the base forecast; financing or cost action is required.</x:v>
      </x:c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</x:row>
    <x:row r="14" ht="29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</x:row>
    <x:row r="15">
      <x:c r="A15" s="23" t="str">
        <x:v>Customer economics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 ht="29" customHeight="1">
      <x:c r="A16" s="38" t="str">
        <x:f>IF('SaaS KPIs'!C16&lt;12,"CAC payback is below 12 months on simplified assumptions; validate with cohort data.","CAC payback exceeds 12 months on simplified assumptions; review acquisition efficiency.")</x:f>
        <x:v>CAC payback is below 12 months on simplified assumptions; validate with cohort data.</x:v>
      </x:c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</x:row>
    <x:row r="17" ht="29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</x:row>
    <x:row r="18">
      <x:c r="A18" s="23" t="str">
        <x:v>Execution priorities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 ht="29" customHeight="1">
      <x:c r="A19" s="38" t="str">
        <x:v>Review churn and net customer additions monthly; test sales productivity, payroll hiring pace and operating leverage.</x:v>
      </x:c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</x:row>
    <x:row r="20" ht="29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>
      <x:c r="A21" s="23" t="str">
        <x:v>Reporting limitations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  <x:row r="22" ht="29" customHeight="1">
      <x:c r="A22" s="38" t="str">
        <x:v>Actuals and budgets are synthetic. CAC, LTV and Rule of 40 are directional proxies. Financial statements are simplified, not an audited three-statement model.</x:v>
      </x:c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 ht="29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</x:row>
  </x:sheetData>
  <x:mergeCells>
    <x:mergeCell ref="A1:L2"/>
    <x:mergeCell ref="A3:L3"/>
    <x:mergeCell ref="A6:K6"/>
    <x:mergeCell ref="A7:K8"/>
    <x:mergeCell ref="A9:K9"/>
    <x:mergeCell ref="A10:K11"/>
    <x:mergeCell ref="A12:K12"/>
    <x:mergeCell ref="A13:K14"/>
    <x:mergeCell ref="A15:K15"/>
    <x:mergeCell ref="A16:K17"/>
    <x:mergeCell ref="A18:K18"/>
    <x:mergeCell ref="A19:K20"/>
    <x:mergeCell ref="A21:K21"/>
    <x:mergeCell ref="A22:K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3" t="str">
        <x:v>MODEL GUIDE &amp; DISCLOSURES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7" t="str">
        <x:v>Northstar Cloud | Professional FP&amp;A portfolio demonstration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6" ht="34" customHeight="1">
      <x:c r="A6" s="23" t="str">
        <x:v>PURPOSE</x:v>
      </x:c>
      <x:c r="B6" s="38" t="str">
        <x:v>Illustrative SaaS FP&amp;A model designed for CFO and senior leadership reviews.</x:v>
      </x:c>
      <x:c r="C6" s="38"/>
      <x:c r="D6" s="38"/>
      <x:c r="E6" s="38"/>
      <x:c r="F6" s="38"/>
      <x:c r="G6" s="38"/>
      <x:c r="H6" s="38"/>
      <x:c r="I6" s="38"/>
      <x:c r="J6" s="38"/>
    </x:row>
    <x:row r="7" ht="34" customHeight="1">
      <x:c r="A7" s="23" t="str">
        <x:v>DATA</x:v>
      </x:c>
      <x:c r="B7" s="38" t="str">
        <x:v>100% fictional / synthetic. No real company financial information is used.</x:v>
      </x:c>
      <x:c r="C7" s="38"/>
      <x:c r="D7" s="38"/>
      <x:c r="E7" s="38"/>
      <x:c r="F7" s="38"/>
      <x:c r="G7" s="38"/>
      <x:c r="H7" s="38"/>
      <x:c r="I7" s="38"/>
      <x:c r="J7" s="38"/>
    </x:row>
    <x:row r="8" ht="34" customHeight="1">
      <x:c r="A8" s="23" t="str">
        <x:v>PERIODS</x:v>
      </x:c>
      <x:c r="B8" s="38" t="str">
        <x:v>FY2025 illustrative actuals, FY2026–FY2027 forecasts; 36 monthly periods.</x:v>
      </x:c>
      <x:c r="C8" s="38"/>
      <x:c r="D8" s="38"/>
      <x:c r="E8" s="38"/>
      <x:c r="F8" s="38"/>
      <x:c r="G8" s="38"/>
      <x:c r="H8" s="38"/>
      <x:c r="I8" s="38"/>
      <x:c r="J8" s="38"/>
    </x:row>
    <x:row r="9" ht="34" customHeight="1">
      <x:c r="A9" s="23" t="str">
        <x:v>START HERE</x:v>
      </x:c>
      <x:c r="B9" s="38" t="str">
        <x:v>Executive Dashboard is the primary management-facing interface.</x:v>
      </x:c>
      <x:c r="C9" s="38"/>
      <x:c r="D9" s="38"/>
      <x:c r="E9" s="38"/>
      <x:c r="F9" s="38"/>
      <x:c r="G9" s="38"/>
      <x:c r="H9" s="38"/>
      <x:c r="I9" s="38"/>
      <x:c r="J9" s="38"/>
    </x:row>
    <x:row r="10" ht="34" customHeight="1">
      <x:c r="A10" s="23" t="str">
        <x:v>INPUTS</x:v>
      </x:c>
      <x:c r="B10" s="38" t="str">
        <x:v>Assumptions sheet contains editable blue-shaded drivers.</x:v>
      </x:c>
      <x:c r="C10" s="38"/>
      <x:c r="D10" s="38"/>
      <x:c r="E10" s="38"/>
      <x:c r="F10" s="38"/>
      <x:c r="G10" s="38"/>
      <x:c r="H10" s="38"/>
      <x:c r="I10" s="38"/>
      <x:c r="J10" s="38"/>
    </x:row>
    <x:row r="11" ht="34" customHeight="1">
      <x:c r="A11" s="23" t="str">
        <x:v>CALCULATIONS</x:v>
      </x:c>
      <x:c r="B11" s="38" t="str">
        <x:v>Monthly FP&amp;A contains formula-linked subscription revenue, expense, earnings and cash bridge.</x:v>
      </x:c>
      <x:c r="C11" s="38"/>
      <x:c r="D11" s="38"/>
      <x:c r="E11" s="38"/>
      <x:c r="F11" s="38"/>
      <x:c r="G11" s="38"/>
      <x:c r="H11" s="38"/>
      <x:c r="I11" s="38"/>
      <x:c r="J11" s="38"/>
    </x:row>
    <x:row r="12" ht="34" customHeight="1">
      <x:c r="A12" s="23" t="str">
        <x:v>BUDGET</x:v>
      </x:c>
      <x:c r="B12" s="38" t="str">
        <x:v>Budget vs Actual compares FY2025 synthetic actuals with an illustrative budget; not actual ERP data.</x:v>
      </x:c>
      <x:c r="C12" s="38"/>
      <x:c r="D12" s="38"/>
      <x:c r="E12" s="38"/>
      <x:c r="F12" s="38"/>
      <x:c r="G12" s="38"/>
      <x:c r="H12" s="38"/>
      <x:c r="I12" s="38"/>
      <x:c r="J12" s="38"/>
    </x:row>
    <x:row r="13" ht="34" customHeight="1">
      <x:c r="A13" s="23" t="str">
        <x:v>SAAS METRICS</x:v>
      </x:c>
      <x:c r="B13" s="38" t="str">
        <x:v>Customer churn, CAC, LTV, payback and Rule of 40 are simplified proxies.</x:v>
      </x:c>
      <x:c r="C13" s="38"/>
      <x:c r="D13" s="38"/>
      <x:c r="E13" s="38"/>
      <x:c r="F13" s="38"/>
      <x:c r="G13" s="38"/>
      <x:c r="H13" s="38"/>
      <x:c r="I13" s="38"/>
      <x:c r="J13" s="38"/>
    </x:row>
    <x:row r="14" ht="34" customHeight="1">
      <x:c r="A14" s="23" t="str">
        <x:v>ACCOUNTING</x:v>
      </x:c>
      <x:c r="B14" s="38" t="str">
        <x:v>The workbook is a management planning model, not an audited, fully integrated three-statement model.</x:v>
      </x:c>
      <x:c r="C14" s="38"/>
      <x:c r="D14" s="38"/>
      <x:c r="E14" s="38"/>
      <x:c r="F14" s="38"/>
      <x:c r="G14" s="38"/>
      <x:c r="H14" s="38"/>
      <x:c r="I14" s="38"/>
      <x:c r="J14" s="38"/>
    </x:row>
    <x:row r="15" ht="34" customHeight="1">
      <x:c r="A15" s="23" t="str">
        <x:v>SCENARIOS</x:v>
      </x:c>
      <x:c r="B15" s="38" t="str">
        <x:v>Modify new-customer growth, churn, pricing and expense assumptions to explore outcomes.</x:v>
      </x:c>
      <x:c r="C15" s="38"/>
      <x:c r="D15" s="38"/>
      <x:c r="E15" s="38"/>
      <x:c r="F15" s="38"/>
      <x:c r="G15" s="38"/>
      <x:c r="H15" s="38"/>
      <x:c r="I15" s="38"/>
      <x:c r="J15" s="38"/>
    </x:row>
    <x:row r="16" ht="34" customHeight="1">
      <x:c r="A16" s="23" t="str">
        <x:v>CASH</x:v>
      </x:c>
      <x:c r="B16" s="38" t="str">
        <x:v>Cash bridge uses net income + depreciation – change in simplified working capital – capex – debt repayment.</x:v>
      </x:c>
      <x:c r="C16" s="38"/>
      <x:c r="D16" s="38"/>
      <x:c r="E16" s="38"/>
      <x:c r="F16" s="38"/>
      <x:c r="G16" s="38"/>
      <x:c r="H16" s="38"/>
      <x:c r="I16" s="38"/>
      <x:c r="J16" s="38"/>
    </x:row>
    <x:row r="17" ht="34" customHeight="1">
      <x:c r="A17" s="23" t="str">
        <x:v>LIMITATIONS</x:v>
      </x:c>
      <x:c r="B17" s="38" t="str">
        <x:v>No deferred revenue, detailed cohort retention, stock-based compensation or comprehensive balance sheet.</x:v>
      </x:c>
      <x:c r="C17" s="38"/>
      <x:c r="D17" s="38"/>
      <x:c r="E17" s="38"/>
      <x:c r="F17" s="38"/>
      <x:c r="G17" s="38"/>
      <x:c r="H17" s="38"/>
      <x:c r="I17" s="38"/>
      <x:c r="J17" s="38"/>
    </x:row>
    <x:row r="18" ht="34" customHeight="1">
      <x:c r="A18" s="23" t="str">
        <x:v>QA</x:v>
      </x:c>
      <x:c r="B18" s="38" t="str">
        <x:v>Cash bridge check row in Monthly FP&amp;A should be zero; review formulas in Excel before external reliance.</x:v>
      </x:c>
      <x:c r="C18" s="38"/>
      <x:c r="D18" s="38"/>
      <x:c r="E18" s="38"/>
      <x:c r="F18" s="38"/>
      <x:c r="G18" s="38"/>
      <x:c r="H18" s="38"/>
      <x:c r="I18" s="38"/>
      <x:c r="J18" s="38"/>
    </x:row>
    <x:row r="19" ht="34" customHeight="1">
      <x:c r="A19" s="23" t="str">
        <x:v>AUTHOR</x:v>
      </x:c>
      <x:c r="B19" s="38" t="str">
        <x:v>Yashkumar Chaudhari | Financial Modelling, FP&amp;A &amp; Corporate Finance | 12 years of experience.</x:v>
      </x:c>
      <x:c r="C19" s="38"/>
      <x:c r="D19" s="38"/>
      <x:c r="E19" s="38"/>
      <x:c r="F19" s="38"/>
      <x:c r="G19" s="38"/>
      <x:c r="H19" s="38"/>
      <x:c r="I19" s="38"/>
      <x:c r="J19" s="38"/>
    </x:row>
  </x:sheetData>
  <x:mergeCells>
    <x:mergeCell ref="A1:J2"/>
    <x:mergeCell ref="A3:J3"/>
    <x:mergeCell ref="B6:J6"/>
    <x:mergeCell ref="B7:J7"/>
    <x:mergeCell ref="B8:J8"/>
    <x:mergeCell ref="B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B19:J19"/>
  </x:mergeCells>
  <x:pageMargins left="0.7" right="0.7" top="0.75" bottom="0.75" header="0.3" footer="0.3"/>
</x:worksheet>
</file>